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 das Aulas" sheetId="1" r:id="rId5"/>
    <sheet state="visible" name="Dashboar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tc={beb9f1e1-d4f2-43a3-bed1-ab583fab869b}</author>
  </authors>
  <commentList>
    <comment authorId="0" ref="B1">
      <text>
        <t xml:space="preserve">O conteúdo escrito do PDF está igual ao conteúdo do LDI?</t>
      </text>
    </comment>
    <comment authorId="0" ref="C1">
      <text>
        <t xml:space="preserve">O conteúdo escrito do PDF/LDI é o mais atualizado?</t>
      </text>
    </comment>
    <comment authorId="0" ref="D1">
      <text>
        <t xml:space="preserve">As videoaulas da antiga plataforma são as mesmas presentes no LDI?</t>
      </text>
    </comment>
    <comment authorId="0" ref="E1">
      <text>
        <t xml:space="preserve">As videoaulas são as mais recentes possíveis?</t>
      </text>
    </comment>
    <comment authorId="0" ref="F1">
      <text>
        <t xml:space="preserve">As videoaulas estão dispostas adequadamente no LDI permeadas entre os textos?</t>
      </text>
    </comment>
    <comment authorId="0" ref="G1">
      <text>
        <t xml:space="preserve">Aula antiga, dispositivos citados já revogados, alterações em leis não previstas na aula, etc</t>
      </text>
    </comment>
    <comment authorId="1" xr:uid="{beb9f1e1-d4f2-43a3-bed1-ab583fab869b}" ref="O5">
      <text>
        <t xml:space="preserve">[Threaded comment]
 Your version of Excel allows you to read this threaded comment; however, any edits to it will get removed if the file is opened in a newer version of Excel. Learn more: https://go.microsoft.com/fwlink/?linkid=870924
Comment:
	@isadora.pereira29@gmail.com mas o LDI apresenta o tema de "IMPUTABILIDADE"?
Se sim, então o PDF não está igual ao LDI, certo?
A resposta "SIM" na 1ª coluna me gerou esta dúvida
Atribuído a isadora.pereira29@gmail.com
Reply:
	Sim, o tema está no LDI mas não consta no material em PDF. Fiz a alteração.
</t>
      </text>
    </comment>
  </commentList>
</comments>
</file>

<file path=xl/sharedStrings.xml><?xml version="1.0" encoding="utf-8"?>
<sst xmlns="http://schemas.openxmlformats.org/spreadsheetml/2006/main" count="161" uniqueCount="76">
  <si>
    <t>Aula</t>
  </si>
  <si>
    <t>PDF = LDI?</t>
  </si>
  <si>
    <t>Conteúdo escrito atualizado?</t>
  </si>
  <si>
    <t>Vídeos = LDI?</t>
  </si>
  <si>
    <t>Vídeos atualizados?</t>
  </si>
  <si>
    <t>Vídeos bem distribuídos?</t>
  </si>
  <si>
    <t>Desatualização encontrada?</t>
  </si>
  <si>
    <t>Descrição da desatualização</t>
  </si>
  <si>
    <t>Qtd. Questões Cebraspe</t>
  </si>
  <si>
    <t>Qtd. Questões Outras Bancas</t>
  </si>
  <si>
    <t>% Cebraspe</t>
  </si>
  <si>
    <t>% Questões Ano 2020 para trás</t>
  </si>
  <si>
    <t>% Questões Ano 2021-2023</t>
  </si>
  <si>
    <t>% Questões Ano 2024-2026</t>
  </si>
  <si>
    <t>Sugestão de Melhoria para o PDF? Cite</t>
  </si>
  <si>
    <t>Sugestão de Melhoria para o LDI? Cite</t>
  </si>
  <si>
    <t>Status da Aula</t>
  </si>
  <si>
    <t>Observações</t>
  </si>
  <si>
    <t>Aula 00
LDI 1</t>
  </si>
  <si>
    <t>Sim</t>
  </si>
  <si>
    <t>Não</t>
  </si>
  <si>
    <t xml:space="preserve">Material encontra-se atualizado e com nível de aprofundamento adequado. </t>
  </si>
  <si>
    <r>
      <rPr/>
      <t xml:space="preserve">O material e tratado no tópico 1 do LDI e apresenta aderência ao conteúdo do PDF, com aprofundamento adequado e compatível com o nível de exigência da prova. No entanto, foram identificadas algumas oportunidades de aprimoramento que podem tornar a organização do conteúdo mais intuitiva e alinhada à experiência do aluno:
O tópico 1.1 do LDI contempla integralmente o conteúdo abordado em "Princípios do Direito Penal", no material em PDF. Entretanto, os tópicos 1.4 (Princípio da Legalidade), 1.5 (Princípio da Presunção de Inocência) e 1.6 (Princípio da Insignificância) retomam parte desse conteúdo de forma individualizada, acompanhados das respectivas videoaulas, o que gera duplicidade de conteúdos.
Como oportunidade de aprimoramento, sugere-se alinhar a organização do LDI à estrutura das videoaulas, de forma que cada tópico corresponda ao respectivo conteúdo em vídeo. Essa adequação pode tornar a navegação mais intuitiva, reduzir a repetição de informações e proporcionar uma experiência de estudo ainda mais consistente para o aluno.
Já no item 1.7, observou-se que o banco de questões apresenta excelente aderência ao perfil de cobrança da banca CEBRASPE. </t>
    </r>
    <r>
      <rPr>
        <b/>
        <color rgb="FFFF0000"/>
      </rPr>
      <t>Marcus Toloza - Foram levantadas as questões recentes sobre os assuntos da Aula 00. São poucas. A maioria não está presente na aula porque são de certames de MP, Procuradoria, Cartório, e possuem um nível acima do razoável para a PRF. Foram encontradas apenas duas questões, de 2026 (prova Sefaz RN), que poderiam ser inseridas no material. Aqui estã o link com as questões prontas para serem comentadas:</t>
    </r>
    <r>
      <rPr/>
      <t xml:space="preserve">
</t>
    </r>
    <r>
      <rPr>
        <color rgb="FF1155CC"/>
        <u/>
      </rPr>
      <t>https://www.tecconcursos.com.br/s/Q6bbSK</t>
    </r>
    <r>
      <rPr/>
      <t xml:space="preserve"> 
</t>
    </r>
  </si>
  <si>
    <t>Aprovada com ajustes</t>
  </si>
  <si>
    <t xml:space="preserve">De modo geral, o LDI apresenta excelente aderência ao conteúdo do PDF e das videoaulas, contemplando os principais tópicos previstos e mantendo um nível de aprofundamento compatível com o perfil de cobrança da banca. O material demonstra consistência em sua proposta pedagógica e oferece uma base sólida para a preparação do aluno.
</t>
  </si>
  <si>
    <t>Aula 01
LDI 2</t>
  </si>
  <si>
    <t>Parcial</t>
  </si>
  <si>
    <t>Verificou-se que o material em PDF apresenta um nível de aprofundamento inferior ao do LDI em alguns tópicos. Observa-se, por exemplo, a ausência de conteúdos específicos, como "Sujeito Ativo" e "Sujeito Passivo", que são abordados de forma mais completa e detalhada no LDI, enquanto o PDF traz apenas uma breve explanação sobre esses temas. Além disso, foram identificados outros pontos em que informações complementares constam apenas no LDI, sem correspondência no material em PDF.
Como sugestão de melhoria, pode-se harmonizar o nível de aprofundamento entre os materiais, incorporando ao PDF os conteúdos e complementações já presentes no LDI. Esse alinhamento pode proporcionar maior consistência entre os recursos didáticos e oferecer ao aluno uma experiência de estudo mais integrada e uniforme.</t>
  </si>
  <si>
    <r>
      <rPr/>
      <t xml:space="preserve">O LDI apresenta </t>
    </r>
    <r>
      <rPr>
        <b/>
      </rPr>
      <t>excelente nível de aprofundamento</t>
    </r>
    <r>
      <rPr/>
      <t xml:space="preserve"> sobre o tema, além de uma organização que, de modo geral, promove boa correspondência entre o conteúdo escrito e as respectivas videoaulas, favorecendo uma experiência de estudo integrada.
No entanto, foram identificados alguns pontos que merecem atenção para aprimorar a consistência entre os materiais. 
</t>
    </r>
    <r>
      <rPr>
        <b/>
      </rPr>
      <t xml:space="preserve">1. </t>
    </r>
    <r>
      <rPr/>
      <t xml:space="preserve">Verificou-se a ausência das videoaulas 10 e 11 (disponíveis na plataforma antiga sob os IDs 178218 e 178219), bem como a inclusão, no LDI, de duas videoaulas (IDs 177840 e 177841) que não foram localizadas na plataforma antiga.
</t>
    </r>
    <r>
      <rPr>
        <b/>
      </rPr>
      <t>2.</t>
    </r>
    <r>
      <rPr/>
      <t xml:space="preserve"> Além disso, observou-se a repetição dos conteúdos "Tempo do Crime" e "Lugar do Crime" nos tópicos 2.6 e 2.7, respectivamente, uma vez que esses temas já haviam sido abordados anteriormente nos tópicos 2.2 e 2.3.
Como oportunidade de aprimoramento, sugere-se revisar a correspondência entre o LDI e as videoaulas, bem como reavaliar a organização desses tópicos, de modo a eliminar duplicidades e assegurar maior uniformidade entre os recursos didáticos, proporcionando ao aluno uma navegação mais fluida e uma experiência de aprendizagem ainda mais consistente.
Por fim, verificou-se que cerca de 63% das questões são oriundas de provas aplicadas antes de 2020. A inclusão de questões mais recentes pode efetivamente contribuir para manter o material constantemente atualizado e ainda mais alinhado às tendências contemporâneas de cobrança da banca, proporcionando ao aluno uma preparação mais aderente ao cenário atual dos concursos.
Com o intuito de contribuir com a atualização do material, a equipe elaborou, a titulo de sugestão, um caderno contendo 34 questões sobre os conteúdos da aula, todas provenientes de provas da banca Cebraspe aplicadas entre 2024 e 2026. 
Link: </t>
    </r>
    <r>
      <rPr>
        <color rgb="FF1155CC"/>
        <u/>
      </rPr>
      <t>https://www.tecconcursos.com.br/s/Q6bbTt</t>
    </r>
    <r>
      <rPr/>
      <t xml:space="preserve"> </t>
    </r>
  </si>
  <si>
    <t>Necessita revisão</t>
  </si>
  <si>
    <t>De forma geral, o LDI apresenta excelente nível de aprofundamento, boa organização e adequada compatibilização entre o conteúdo escrito e as videoaulas, oferecendo uma experiência de estudo consistente. Como oportunidades de aprimoramento, sugere-se apenas a revisão da correspondência entre o LDI, o PDF e as videoaulas, com a eliminação de conteúdos repetidos e o alinhamento de tópicos eventualmente divergentes, além da atualização gradual do banco de questões, com a inclusão de provas mais recentes, de modo a manter o material alinhado às tendências atuais de cobrança da banca e proporcionar ao aluno uma preparação cada vez mais atualizada.</t>
  </si>
  <si>
    <t>Aula 02
LDI 3</t>
  </si>
  <si>
    <r>
      <rPr/>
      <t xml:space="preserve">O conteúdo apresentado no tópico 3 do LDI e no material em PDF apresenta compatibilidade integral, com adequada correspondência entre os materiais. Da mesma forma, a organização do LDI está alinhada às videoaulas, que também se mostram compatíveis com aquelas disponibilizadas na plataforma antiga, proporcionando ao aluno uma experiência de estudo coesa e consistente.
Como oportunidade de aprimoramento, sugere-se avaliar a possibilidade de redistribuir as videoaulas ao longo do conteúdo escrito, em vez de mantê-las concentradas no início do material. Essa organização pode tornar o estudo mais fluido e favorecer a integração entre a teoria e as explicações em vídeo.
Além disso, com o intuito de contribuir para a atualização do material, foi elaborado, a título de sugestão, um caderno contendo 2 questões da banca CEBRASPE, aplicadas em 2026, referentes aos conteúdos da aula. Caso a equipe considere pertinente, essas questões poderão ser comentadas e incorporadas ao material, enriquecendo o banco de questões com exemplos mais recentes do perfil de cobrança da banca:
</t>
    </r>
    <r>
      <rPr>
        <color rgb="FF1155CC"/>
        <u/>
      </rPr>
      <t>https://www.tecconcursos.com.br/s/Q6bbe5</t>
    </r>
    <r>
      <rPr/>
      <t xml:space="preserve"> </t>
    </r>
  </si>
  <si>
    <t xml:space="preserve">O material apresenta excelente nível de atualização e aprofundamento, com plena compatibilidade entre o LDI, o PDF e as videoaulas. A organização dos conteúdos está alinhada entre os diferentes recursos didáticos, proporcionando ao aluno uma experiência de estudo coesa, consistente e adequada ao perfil de cobrança da banca. </t>
  </si>
  <si>
    <t>Aula 03
LDI 4 E 5</t>
  </si>
  <si>
    <t>Observou-se que o tema "Imputabilidade", embora previsto para a aula e contemplado no LDI, ainda não consta da parte teórica do material em PDF. Como oportunidade de aprimoramento, sugere-se sua inclusão, de modo a manter a plena compatibilidade entre os materiais e proporcionar ao aluno uma experiência de estudo ainda mais completa e consistente.</t>
  </si>
  <si>
    <r>
      <rPr/>
      <t xml:space="preserve">O conteúdo da Aula 03 da plataforma antiga corresponde aos tópicos 4 e 5 do LDI. As videoaulas estão compatíveis com a estrutura do material, e o LDI contempla os conteúdos abordados no PDF. Destaca-se, ainda, a inclusão do tema "Imputabilidade" no LDI, conteúdo que não foi identificado no material em PDF. Como oportunidade de melhoria, sugere-se a inclusão desse tema também no PDF, de modo a manter a compatibilidade entre os materiais.
Quanto a disposição das videoaulas, sugere-se avaliar a possibilidade de redistribuir-las  ao longo do conteúdo escrito, em vez de mantê-las concentradas no início do material. Essa organização pode tornar o estudo mais fluido e favorecer a integração entre a teoria e as explicações em vídeo.
Ainda, em relação ao banco de questões, observou-se que os itens 4 e 5 possuem apenas 7,4% das questões aplicadas a partir de 2024. A título de sugestão, foi gerado um caderno de com 19 questões aplicadas entre 2024 e 2026 acerca do tema da aula:
</t>
    </r>
    <r>
      <rPr>
        <color rgb="FF1155CC"/>
        <u/>
      </rPr>
      <t>https://www.tecconcursos.com.br/s/Q6bcAh</t>
    </r>
    <r>
      <rPr/>
      <t xml:space="preserve"> 
Por fim, verificou-se que os conteúdos teóricos e as videoaulas dos temas "Culpabilidade" (ID 180622) e "Causas de Exclusão da Culpabilidade" (ID 180623) aparecem de forma duplicada nos itens 4.1 e 5.1 do LDI. Como oportunidade de aprimoramento, sugere-se reorganizar esses tópicos, consolidando os conteúdos em uma única sequência e eliminando as repetições. Essa adequação pode tornar a estrutura do material mais fluida e proporcionar ao aluno uma experiência de estudo mais organizada e intuitiva.</t>
    </r>
  </si>
  <si>
    <t>O conteúdo da Aula 03 da plataforma antiga corresponde aos tópicos 4 e 5 do LDI, havendo adequada compatibilidade entre o LDI, as videoaulas e o material em PDF. O LDI apresenta bom nível de aprofundamento e contempla, inclusive, o tema "Imputabilidade", que não foi identificado no PDF. Como oportunidade de aprimoramento, sugere-se a inclusão desse conteúdo no material em PDF, promovendo maior uniformidade entre os recursos didáticos.</t>
  </si>
  <si>
    <t>Aula 04
LDI 6</t>
  </si>
  <si>
    <t xml:space="preserve">Há duas videoaulas incluídas no item 6.3 do LDI (IDs 81922 e 81923) que fazem parte da matriz gravada anteriormente. O mesmo conteúdo encontra-se disponpivel nas videoaulas seguintes, já na matriz atual. </t>
  </si>
  <si>
    <t xml:space="preserve">Os conteúdos do LDI e do material em PDF estão plenamente compatíveis entre si, apresentando adequada correspondência e um nível de aprofundamento compatível com as exigências do concurso da PRF.
Quanto a disposição das videoaulas, sugere-se avaliar a possibilidade de redistribuir-las  ao longo do conteúdo escrito, em vez de mantê-las concentradas no início do material. Essa organização pode tornar o estudo mais fluido e favorecer a integração entre a teoria e as explicações em vídeo.
</t>
  </si>
  <si>
    <t>Aprovada</t>
  </si>
  <si>
    <t>O material apresenta excelente nível de aprofundamento teórico, contemplando de forma satisfatória os conteúdos propostos para a disciplina. Além disso, entende-se que a manutenção de questões de outras bancas no bloco de exercícios é pertinente, considerando a quantidade reduzida de questões recentes da CEBRASPE sobre o tema. Essa estratégia contribui para ampliar o repertório do aluno, sem comprometer o foco na preparação para o concurso.</t>
  </si>
  <si>
    <t>Aula 05
LDI 7</t>
  </si>
  <si>
    <t>O conteúdo escrito encontra-se devidamente atualizado e compatível com a proposta da disciplina. No entanto, observou-se que, em diversos pontos do LDI, permanecem disponíveis videoaulas pertencentes à matriz antiga do professor, inseridas paralelamente às videoaulas da matriz vigente. Essa duplicidade acaba gerando um volume desnecessário de conteúdos em vídeo, o que pode comprometer a organização do material e dificultar a navegação do aluno.</t>
  </si>
  <si>
    <t>O material em PDF encontra-se devidamente atualizado, contemplando, inclusive, as alterações legislativas de 2026. Da mesma forma, o bloco de questões apresenta excelente aderência ao perfil da banca CEBRASPE, com um acervo atual e compatível com as tendências recentes de cobrança.</t>
  </si>
  <si>
    <r>
      <rPr>
        <rFont val="Calibri"/>
        <color theme="1"/>
      </rPr>
      <t xml:space="preserve">O tópico 7 do LDI, correspondente ao conteúdo da Aula 05 da plataforma antiga. Em análise, foram identificados alguns pontos que merecem atenção quanto à organização do material.
Observou-se significativa repetição de conteúdos, tanto na parte textual quanto nas videoaulas. Em diversos momentos, o LDI apresenta simultaneamente conteúdos da matriz atual e da matriz antiga, resultando em tópicos e videoaulas duplicados para um mesmo tema, o que pode comprometer a fluidez da navegação e da experiência de estudo.
Além disso, verificou-se que temas referente ao homicídio como "Disposições relevantes sobre as qualificadoras", "Nas dependências de instituição de ensino" e "Contra menor de 14 anos de idade" encontram-se, em verdade, inseridos no tópico referente ao crime de aborto, embora não guardem relação com esse conteúdo.
Em contrapartida, permanecem disponíveis videoaulas da matriz antiga (IDs 89042, 89423 e 89424), gerando duplicidade de conteúdo.
Por fim, </t>
    </r>
    <r>
      <rPr>
        <rFont val="Calibri"/>
        <b/>
        <color theme="1"/>
      </rPr>
      <t>não foram localizadas no LDI as videoaulas referentes aos seguintes temas</t>
    </r>
    <r>
      <rPr>
        <rFont val="Calibri"/>
        <color theme="1"/>
      </rPr>
      <t xml:space="preserve">:
- Maus-tratos – art. 136" (ID 289973)
- Ameaça no contexto da atuação de facção criminosa, milícia privada ou grupo paramilitar (art. 147-C) – ID 313617;
- Violência psicológica contra a mulher – Majorante (art. 147-B, parágrafo único) – ID 283230;
- Sequestro ou cárcere privado no contexto da atuação de facção criminosa, milícia privada ou grupo paramilitar (art. 148, § 3º) – ID 313618.
Em contrapartida, permanecem disponíveis videoaulas da matriz antiga (como, por exemplo, os videos de IDs 89042, 89423 e 89424), gerando duplicidade de conteúdo.
Como oportunidade de aprimoramento, sugere-se revisar a estrutura do tópico 7, eliminando duplicidades de videoaulas, reorganizando os conteúdos que se encontram deslocados e promovendo a compatibilização integral entre o LDI e as videoaulas da matriz vigente. Essas adequações podem tornar o material mais fluido, facilitar a navegação do aluno e assegurar maior uniformidade entre os recursos didáticos.
</t>
    </r>
  </si>
  <si>
    <t>Aula 06
LDI 8</t>
  </si>
  <si>
    <t>No tópico 8.7 do LDI (Crimes contra o Patrimônio), foi identificado que as videoaulas disponíveis pertencem à matriz antiga. Vale notar que os vídeos atualizados da nova matriz já estão disponíveis na plataforma antiga.</t>
  </si>
  <si>
    <t>No tópico 8 do LDI, foram identificadas algumas oportunidades de aprimoramento que podem contribuir para uma melhor organização e compatibilização dos materiais. Os principais pontos observados foram:
Aula 8.1: otimização de recursos visuais de diferenciação e destaque e inclusão do cabeçalho na tabela apresentada, visando maior clareza na apresentação das informações;
Aula 8.2: remoção das videoaulas duplicadas, de modo a evitar redundâncias e tornar a navegação mais fluida;
Compatibilização com o PDF: inclusão, no LDI, do conteúdo correspondente às páginas 85 e 86 da Aula 06 no tópico 8.6, bem como das páginas 124 a 127 no tópico 8.8, promovendo maior uniformidade entre os materiais;
Aulas 8.12 e 8.13: revisão dos conteúdos repetidos, com a eliminação das duplicidades, considerando que os temas já se encontram devidamente abordados nos respectivos tópicos.
Essas adequações podem tornar o material ainda mais organizado, consistente e alinhado entre os diferentes recursos didáticos, proporcionando ao aluno uma experiência de estudo mais fluida e integrada.</t>
  </si>
  <si>
    <t>Aula 07
LDI 9 e 10</t>
  </si>
  <si>
    <t>Verificou-se que o tópico 9.3 do LDI (Crimes Sexuais contra Vulneráveis) ainda não contempla as alterações introduzidas pela Lei nº 15.353/2026. Observa-se que essas atualizações já foram incorporadas ao material em PDF, especialmente nas páginas 26, 27 e 41 a 43.</t>
  </si>
  <si>
    <t xml:space="preserve">Inicialmente, cabe destacar que o material em PDF apresenta, de forma geral, bom nível de atualização e aprofundamento, estando compatível com as exigências da disciplina. No entanto, foram identificados alguns pontos que podem ser revisados para tornar o material ainda mais completo, organizado e uniforme.
Observou-se que o material em PDF da Aula 07 reúne, em um único arquivo, os conteúdos referentes aos crimes contra a dignidade sexual e aos crimes contra a incolumidade pública, totalizando 365 páginas. Considerando que se tratam de temas distintos e que o próprio LDI os organiza separadamente nos tópicos 9 e 10, sugere-se a divisão do PDF em dois arquivos. Essa adequação pode tornar o material mais leve, facilitar a navegação e contribuir para um planejamento de estudos mais organizado.
Também foi verificado que, no tópico "Das Disposições Gerais sobre os Crimes contra a Dignidade Sexual", parte dos conteúdos dos subtópicos "Segredo de Justiça" e "Jurisprudências Relevantes" não consta no PDF. Além disso, o conteúdo "Dos Crimes de Perigo Comum" apresenta uma abordagem mais sucinta quando comparada ao LDI e aos demais temas da disciplina, representando uma oportunidade para uniformizar o nível de aprofundamento entre os materiais.
Por fim, foram identificadas duplicidades de conteúdo no PDF. O tema "Estupro" é apresentado tanto nas páginas 3 a 10 quanto nas páginas 75 a 81, enquanto "Estupro de Vulnerável" aparece nas páginas 21 a 30 e novamente nas páginas 82 a 91.
Como oportunidade de aprimoramento, sugere-se revisar a estrutura do material, promovendo a divisão do PDF em arquivos distintos, complementando os conteúdos que hoje se encontram mais sintéticos e eliminando as duplicidades identificadas. Essas adequações podem fortalecer a compatibilidade entre o PDF e o LDI, otimizar a organização do conteúdo e proporcionar ao aluno uma experiência de estudo mais fluida, consistente e eficiente.
</t>
  </si>
  <si>
    <t>O conteúdo da Aula 07 está organizado no LDI por meio dos tópicos 9 e 10. De forma geral, o material apresenta excelente nível de aprofundamento, abordando os temas de maneira completa e compatível com as exigências da disciplina. No entanto, foram identificados alguns pontos que podem ser revisados para tornar o material ainda mais organizado e consistente.
No tópico 9.3 (Crimes Sexuais contra Vulneráveis), verificou-se que o LDI ainda não contempla as alterações introduzidas pela Lei nº 15.353/2026, as quais já foram incorporadas ao material em PDF. Sugere-se a atualização desse conteúdo, a fim de manter a compatibilidade entre os recursos didáticos e assegurar que o aluno tenha acesso à legislação mais recente.
Além disso, observou-se que os tópicos 9.4, 9.5, 9.6 e 9.7 ainda apresentam, simultaneamente, videoaulas da matriz antiga e da matriz vigente do professor, resultando em duplicidade de conteúdo. Da mesma forma, verificou-se que os tópicos 9.8, 9.9 e 10.4 reproduzem inteiramente conteúdos já abordados em tópicos anteriores, repetindo a mesma situação identificada no material em PDF.
Como oportunidade de aprimoramento, sugere-se revisar a organização desses tópicos, promovendo a atualização do conteúdo legislativo e a eliminação das duplicidades de textos e videoaulas. Essas adequações podem tornar o material mais fluido, fortalecer a compatibilidade entre os recursos didáticos e proporcionar ao aluno uma experiência de estudo ainda mais organizada e eficiente.</t>
  </si>
  <si>
    <t>Aula 08
LDI 11</t>
  </si>
  <si>
    <t>O material em PDF apresenta excelente nível de atualização e aprofundamento, atendendo de forma adequada às exigências da disciplina. Destaca-se, ainda, a qualidade do banco de questões, integralmente alinhado ao perfil de cobrança da banca examinadora e composto, em sua maioria (cerca de 63%), por questões aplicadas a partir de 2023, o que contribui para uma preparação mais aderente ao cenário atual dos concursos.</t>
  </si>
  <si>
    <t>O conteúdo da Aula 08 encontra-se disponibilizado no tópico 11 do LDI. No entanto, verificou-se que o material não apresenta o mesmo nível de aprofundamento observado no PDF.
Inicialmente, constatou-se a ausência, no LDI, de toda a parte teórica referente ao tema "Moeda Falsa", correspondente às páginas 3 a 10 do material em PDF, bem como das respectivas videoaulas.
Além disso, os conteúdos dos tópicos 11.1 (Da Falsidade de Títulos e Outros Papéis Públicos), 11.2 (Da Falsidade Documental) e 11.4 (Das Fraudes em Certames de Interesse Público) são apresentados predominantemente em formato de tabela, o que resulta em uma abordagem mais sintética quando comparada ao material em PDF. Também foi observado que essas tabelas possuem formatação excessivamente alongada, ocupando apenas uma pequena porção da página e tornando a leitura menos fluida.
Como oportunidade de melhoria, sugere-se compatibilizar integralmente o conteúdo do LDI com o material em PDF, tanto em relação ao nível de aprofundamento quanto à organização e formatação das informações. Essa adequação pode proporcionar uma experiência de estudo mais completa, uniforme e agradável ao aluno, além de favorecer a leitura e a assimilação do conteúdo.</t>
  </si>
  <si>
    <t>Aula 09
LDI 12</t>
  </si>
  <si>
    <t>O material em PDF apresenta excelente nível de atualização e aprofundamento, atendendo de forma adequada às exigências da disciplina. Destaca-se, ainda, a qualidade do banco de questões, integralmente alinhado ao perfil de cobrança da banca examinadora e composto, em sua maioria (cerca de 76%), por questões aplicadas a partir de 2023, o que contribui para uma preparação mais aderente ao cenário atual dos concursos.</t>
  </si>
  <si>
    <r>
      <rPr/>
      <t xml:space="preserve">O material disponibilizado no LDI encontra-se plenamente compatível com o conteúdo do PDF, apresentando adequada organização e videoaulas devidamente atualizadas.
Como oportunidade de aprimoramento, sugere-se a inclusão de um bloco de questões voltado à banca CEBRASPE, uma vez que o item atualmente não dispõe de questões para fixação. Essa adequação poderá complementar o estudo teórico, proporcionar maior integração entre os recursos didáticos e oferecer ao aluno a oportunidade de praticar o conteúdo por meio de questões alinhadas ao perfil da banca examinadora.
</t>
    </r>
    <r>
      <rPr>
        <color rgb="FF1155CC"/>
        <u/>
      </rPr>
      <t>https://www.tecconcursos.com.br/s/Q6bcWw</t>
    </r>
    <r>
      <rPr/>
      <t xml:space="preserve"> </t>
    </r>
  </si>
  <si>
    <t>Aula 10
LDI 13</t>
  </si>
  <si>
    <t>O material em PDF apresenta excelente nível de atualização e aprofundamento, atendendo de forma adequada às exigências da disciplina. Destaca-se, ainda, a qualidade do banco de questões, integralmente alinhado ao perfil de cobrança da banca examinadora e composto, em sua maioria (cerca de 46%), por questões aplicadas a partir de 2023, o que contribui para uma preparação mais aderente ao cenário atual dos concursos.</t>
  </si>
  <si>
    <r>
      <rPr/>
      <t xml:space="preserve">O material disponibilizado no LDI encontra-se plenamente compatível com o conteúdo do PDF, apresentando adequada organização e videoaulas devidamente atualizadas, incluindo atualizações legislativas promovidas pela Lei Complementar 225 de 2026 .
Como oportunidade de aprimoramento, sugere-se a inclusão de um bloco de questões voltado à banca CEBRASPE, uma vez que o item atualmente não dispõe de questões para fixação. Essa adequação poderá complementar o estudo teórico, proporcionar maior integração entre os recursos didáticos e oferecer ao aluno a oportunidade de praticar o conteúdo por meio de questões alinhadas ao perfil da banca examinadora.
</t>
    </r>
    <r>
      <rPr>
        <color rgb="FF1155CC"/>
        <u/>
      </rPr>
      <t>https://www.tecconcursos.com.br/s/Q6bcYB</t>
    </r>
    <r>
      <rPr/>
      <t xml:space="preserve"> </t>
    </r>
  </si>
  <si>
    <t>Aula 11
LDI 14</t>
  </si>
  <si>
    <t>O material em PDF apresenta excelente nível de atualização e aprofundamento, atendendo de forma adequada às exigências da disciplina. Destaca-se, ainda, a qualidade do banco de questões, integralmente alinhado ao perfil de cobrança da banca examinadora e composto por um acervo atualizado, que inclui aproximadamente 31% de questões aplicadas a partir de 2023, contribuindo para uma preparação mais aderente ao cenário atual dos concursos.</t>
  </si>
  <si>
    <r>
      <rPr/>
      <t xml:space="preserve">O conteúdo da Aula 11 encontra-se disponibilizado no tópico 14 do LDI, estando devidamente atualizado e compatível com o material em PDF, inclusive no que se refere às videoaulas.
Como oportunidades de aprimoramento, observou-se que as videoaulas estão concentradas no início do tópico, em vez de serem distribuídas ao longo do conteúdo conforme a sequência dos textos. A organização intercalada entre teoria e vídeo pode proporcionar uma experiência de estudo mais fluida e intuitiva.
Também foram identificados alguns pontos em que elementos de formatação presentes no PDF, como caixas de destaque, não foram reproduzidos no LDI, resultando em trechos apresentados apenas em texto corrido. A incorporação desses recursos visuais pode favorecer a organização das informações e facilitar a leitura.
Além disso, verificou-se a duplicidade da parte teórica referente aos crimes previstos nos arts. 356 e 357 do Código Penal, cujos conteúdos aparecem tanto na sequência natural da matéria quanto novamente ao final do tópico.
Por fim, constatou-se a ausência de um bloco de questões no LDI. Como sugestão, pode-se inlcuir, ao final do material, o bloco de questões comentadas já disponível no PDF, complementando o estudo teórico e proporcionando ao aluno uma etapa de fixação alinhada ao perfil da disciplina.
</t>
    </r>
    <r>
      <rPr>
        <color rgb="FF1155CC"/>
        <u/>
      </rPr>
      <t>https://www.tecconcursos.com.br/s/Q6bcZf</t>
    </r>
    <r>
      <rPr/>
      <t xml:space="preserve"> </t>
    </r>
  </si>
  <si>
    <t>Aula 12
LDI 15</t>
  </si>
  <si>
    <t>O material em PDF apresenta bom nível de aprofundamento e encontra-se devidamente atualizado. 
O bloco de questões ao final também merece destaque, reunindo as questões mais recentes da banca examinadora sobre o tema e complementando o estudo com questões inéditas elaboradas pelo professor e de outras bancas, estratégia que se mostra adequada diante da quantidade reduzida de questões da CEBRASPE disponíveis para esse conteúdo. Dessa forma, o material proporciona ao aluno um repertório mais amplo para fixação e consolidação da aprendizagem.</t>
  </si>
  <si>
    <t>O conteúdo da Aula 12 encontra-se disponibilizado no tópico 15 do LDI, estando devidamente atualizado e compatível com o material em PDF, inclusive no que se refere às respectivas videoaulas.
Como oportunidades de aprimoramento, observou-se que as videoaulas estão concentradas no início do tópico, em vez de serem distribuídas ao longo do conteúdo. A organização intercalada entre os textos e as videoaulas pode proporcionar uma experiência de estudo mais fluida e facilitar o acompanhamento da matéria.
Além disso, verificou-se que alguns recursos visuais presentes no PDF, como caixas de destaque, não foram reproduzidos no LDI, fazendo com que determinadas informações apareçam apenas em texto corrido. A incorporação desses elementos pode tornar a leitura mais dinâmica e facilitar a identificação de pontos relevantes.
Por fim, identificou-se a duplicidade da parte teórica referente ao crime previsto no art. 337-K do Código Penal (Afastamento de Licitante), cujo conteúdo aparece repetido de forma consecutiva no tópico 15.1 do LDI. Como oportunidade de aprimoramento, sugere-se revisar a organização desse tópico, eliminando a repetição e tornando a estrutura do material mais objetiva e fluida.</t>
  </si>
  <si>
    <t>Indicadores (preenchidos automaticamente conforme a tabela)</t>
  </si>
  <si>
    <t>Total de aulas</t>
  </si>
  <si>
    <t>Aprovadas</t>
  </si>
  <si>
    <t>Aprovadas com ajustes</t>
  </si>
  <si>
    <t>Necessitam revisão</t>
  </si>
  <si>
    <t>% médio Cebraspe</t>
  </si>
  <si>
    <t>Desatualizações encontradas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</si>
</sst>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color rgb="FFFFFFFF"/>
      <name val="Calibri"/>
      <scheme val="minor"/>
    </font>
    <font>
      <color theme="1"/>
      <name val="Calibri"/>
      <scheme val="minor"/>
    </font>
    <font>
      <sz val="11.0"/>
      <color theme="1"/>
      <name val="Calibri"/>
    </font>
    <font>
      <u/>
      <color rgb="FF0000FF"/>
    </font>
    <font>
      <u/>
      <color rgb="FF0000FF"/>
    </font>
    <font>
      <u/>
      <color rgb="FF0000FF"/>
    </font>
    <font>
      <b/>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readingOrder="0" shrinkToFit="0" vertical="center" wrapText="1"/>
    </xf>
    <xf borderId="0" fillId="0" fontId="4"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3" fontId="2" numFmtId="0" xfId="0" applyAlignment="1" applyFill="1" applyFont="1">
      <alignment readingOrder="0" shrinkToFit="0" vertical="center" wrapText="1"/>
    </xf>
    <xf borderId="0" fillId="0" fontId="5" numFmtId="0" xfId="0" applyAlignment="1" applyFont="1">
      <alignment horizontal="center" readingOrder="0" shrinkToFit="0" vertical="center" wrapText="0"/>
    </xf>
    <xf borderId="0" fillId="3" fontId="3" numFmtId="164"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0"/>
    </xf>
    <xf borderId="0" fillId="3"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readingOrder="0" shrinkToFit="0" wrapText="1"/>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0" fontId="3" numFmtId="10" xfId="0" applyAlignment="1" applyFont="1" applyNumberFormat="1">
      <alignment horizontal="center" readingOrder="0" shrinkToFit="0" vertical="center" wrapText="1"/>
    </xf>
    <xf borderId="0" fillId="0" fontId="2" numFmtId="0" xfId="0" applyAlignment="1" applyFont="1">
      <alignment horizontal="center"/>
    </xf>
    <xf borderId="0" fillId="0" fontId="2" numFmtId="0" xfId="0" applyFont="1"/>
    <xf borderId="0" fillId="0" fontId="3" numFmtId="164" xfId="0" applyFont="1" applyNumberFormat="1"/>
    <xf borderId="0" fillId="0" fontId="2" numFmtId="0" xfId="0" applyAlignment="1" applyFont="1">
      <alignment shrinkToFit="0" wrapText="0"/>
    </xf>
    <xf borderId="0" fillId="0" fontId="3" numFmtId="164" xfId="0" applyFont="1" applyNumberFormat="1"/>
    <xf borderId="0" fillId="0" fontId="2" numFmtId="0" xfId="0" applyAlignment="1" applyFont="1">
      <alignment shrinkToFit="0" wrapText="0"/>
    </xf>
    <xf borderId="0" fillId="0" fontId="2" numFmtId="0" xfId="0" applyFont="1"/>
    <xf borderId="0" fillId="0" fontId="2" numFmtId="0" xfId="0" applyAlignment="1" applyFont="1">
      <alignment horizontal="center"/>
    </xf>
    <xf borderId="0" fillId="0" fontId="7" numFmtId="0" xfId="0" applyAlignment="1" applyFont="1">
      <alignment horizontal="center"/>
    </xf>
    <xf borderId="0" fillId="0" fontId="3" numFmtId="164" xfId="0" applyAlignment="1" applyFont="1" applyNumberFormat="1">
      <alignment horizont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s>
  <tableStyles count="1">
    <tableStyle count="3" pivot="0" name="Avaliação das Aula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0a22dbfb-acdd-4484-b22b-e869e8978fac}">
    <Anchor>
      <Comment id="{beb9f1e1-d4f2-43a3-bed1-ab583fab869b}"/>
    </Anchor>
    <History>
      <Event time="2026-07-02T14:26:38.00" id="{6f6880fd-7207-4b8d-b2f4-d53d1618ad31}">
        <Attribution userId="placeholder@email.com" userName="Marcus Toloza" userProvider="google-sheets"/>
        <Anchor>
          <Comment id="{beb9f1e1-d4f2-43a3-bed1-ab583fab869b}"/>
        </Anchor>
        <Create/>
      </Event>
      <Event time="2026-07-02T14:26:38.00" id="{825dc94e-c172-4fc6-9496-e1774a29b5d3}">
        <Attribution userId="placeholder@email.com" userName="Marcus Toloza" userProvider="google-sheets"/>
        <Anchor>
          <Comment id="{beb9f1e1-d4f2-43a3-bed1-ab583fab869b}"/>
        </Anchor>
        <Assign userId="isadora.pereira29@gmail.com" userName="isadora.pereira29@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cus Toloza" id="{b70b3fe3-4686-4676-8038-2e828de2df20}" providerId="google-sheets"/>
  <x18tc:person displayName="Isadora Pereira" id="{0ee4dd1b-e134-4b71-b193-1ced3ed42d5a}" providerId="google-sheets"/>
  <x18tc:person displayName="isadora.pereira29@gmail.com" id="{aefe01cb-93ae-4297-a25b-13235a39216c}" userId="isadora.pereira29@gmail.com" providerId="google-sheets"/>
</x18tc:personList>
</file>

<file path=xl/tables/table1.xml><?xml version="1.0" encoding="utf-8"?>
<table xmlns="http://schemas.openxmlformats.org/spreadsheetml/2006/main" ref="A1:R14" displayName="Table_1" name="Table_1" id="1">
  <tableColumns count="18">
    <tableColumn name="Aula" id="1"/>
    <tableColumn name="PDF = LDI?" id="2"/>
    <tableColumn name="Conteúdo escrito atualizado?" id="3"/>
    <tableColumn name="Vídeos = LDI?" id="4"/>
    <tableColumn name="Vídeos atualizados?" id="5"/>
    <tableColumn name="Vídeos bem distribuídos?" id="6"/>
    <tableColumn name="Desatualização encontrada?" id="7"/>
    <tableColumn name="Descrição da desatualização" id="8"/>
    <tableColumn name="Qtd. Questões Cebraspe" id="9"/>
    <tableColumn name="Qtd. Questões Outras Bancas" id="10"/>
    <tableColumn name="% Cebraspe" id="11"/>
    <tableColumn name="% Questões Ano 2020 para trás" id="12"/>
    <tableColumn name="% Questões Ano 2021-2023" id="13"/>
    <tableColumn name="% Questões Ano 2024-2026" id="14"/>
    <tableColumn name="Sugestão de Melhoria para o PDF? Cite" id="15"/>
    <tableColumn name="Sugestão de Melhoria para o LDI? Cite" id="16"/>
    <tableColumn name="Status da Aula" id="17"/>
    <tableColumn name="Observações" id="18"/>
  </tableColumns>
  <tableStyleInfo name="Avaliação das Aul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 dT="2026-07-02T14:26:38.00" personId="{b70b3fe3-4686-4676-8038-2e828de2df20}" id="{beb9f1e1-d4f2-43a3-bed1-ab583fab869b}" done="0">
    <x18tc:text xml:space="preserve">@isadora.pereira29@gmail.com mas o LDI apresenta o tema de "IMPUTABILIDADE"?
Se sim, então o PDF não está igual ao LDI, certo?
A resposta "SIM" na 1ª coluna me gerou esta dúvida
Atribuído a isadora.pereira29@gmail.com</x18tc:text>
    <x18tc:mentions>
      <x18tc:mention mentionpersonId="{aefe01cb-93ae-4297-a25b-13235a39216c}" mentionId="{067f1999-0d49-4934-a8db-90314e9cdb9b}" startIndex="0" length="28"/>
    </x18tc:mentions>
  </x18tc:threadedComment>
  <x18tc:threadedComment ref="O5" dT="2026-07-03T19:34:19.00" personId="{0ee4dd1b-e134-4b71-b193-1ced3ed42d5a}" id="{e90395d1-59e4-4b46-83c7-af257407adfa}" parentId="{beb9f1e1-d4f2-43a3-bed1-ab583fab869b}">
    <x18tc:text xml:space="preserve">Sim, o tema está no LDI mas não consta no material em PDF. Fiz a alteração.</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drawing" Target="../drawings/drawing1.xml"/><Relationship Id="rId10" Type="http://schemas.openxmlformats.org/officeDocument/2006/relationships/hyperlink" Target="https://www.tecconcursos.com.br/s/Q6bcZf"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tecconcursos.com.br/s/Q6bbSK" TargetMode="External"/><Relationship Id="rId9" Type="http://schemas.openxmlformats.org/officeDocument/2006/relationships/hyperlink" Target="https://www.tecconcursos.com.br/s/Q6bcYB" TargetMode="External"/><Relationship Id="rId14" Type="http://schemas.openxmlformats.org/officeDocument/2006/relationships/table" Target="../tables/table1.xml"/><Relationship Id="rId5" Type="http://schemas.openxmlformats.org/officeDocument/2006/relationships/hyperlink" Target="https://www.tecconcursos.com.br/s/Q6bbTt" TargetMode="External"/><Relationship Id="rId6" Type="http://schemas.openxmlformats.org/officeDocument/2006/relationships/hyperlink" Target="https://www.tecconcursos.com.br/s/Q6bbe5" TargetMode="External"/><Relationship Id="rId7" Type="http://schemas.openxmlformats.org/officeDocument/2006/relationships/hyperlink" Target="https://www.tecconcursos.com.br/s/Q6bcAh" TargetMode="External"/><Relationship Id="rId8" Type="http://schemas.openxmlformats.org/officeDocument/2006/relationships/hyperlink" Target="https://www.tecconcursos.com.br/s/Q6bcW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0"/>
    <col customWidth="1" min="2" max="2" width="14.0"/>
    <col customWidth="1" min="3" max="3" width="16.0"/>
    <col customWidth="1" min="4" max="4" width="14.0"/>
    <col customWidth="1" min="5" max="5" width="18.0"/>
    <col customWidth="1" min="6" max="6" width="22.0"/>
    <col customWidth="1" min="7" max="7" width="18.0"/>
    <col customWidth="1" min="8" max="8" width="40.0"/>
    <col customWidth="1" min="9" max="9" width="18.0"/>
    <col customWidth="1" min="10" max="10" width="20.0"/>
    <col customWidth="1" min="11" max="14" width="12.0"/>
    <col customWidth="1" min="15" max="16" width="35.0"/>
    <col customWidth="1" min="17" max="17" width="24.0"/>
    <col customWidth="1" min="18" max="18" width="40.0"/>
    <col customWidth="1" min="19" max="26" width="8.71"/>
  </cols>
  <sheetData>
    <row r="1">
      <c r="A1" s="1" t="s">
        <v>0</v>
      </c>
      <c r="B1" s="1" t="s">
        <v>1</v>
      </c>
      <c r="C1" s="2" t="s">
        <v>2</v>
      </c>
      <c r="D1" s="1" t="s">
        <v>3</v>
      </c>
      <c r="E1" s="1" t="s">
        <v>4</v>
      </c>
      <c r="F1" s="1" t="s">
        <v>5</v>
      </c>
      <c r="G1" s="1" t="s">
        <v>6</v>
      </c>
      <c r="H1" s="1" t="s">
        <v>7</v>
      </c>
      <c r="I1" s="2" t="s">
        <v>8</v>
      </c>
      <c r="J1" s="2" t="s">
        <v>9</v>
      </c>
      <c r="K1" s="1" t="s">
        <v>10</v>
      </c>
      <c r="L1" s="2" t="s">
        <v>11</v>
      </c>
      <c r="M1" s="2" t="s">
        <v>12</v>
      </c>
      <c r="N1" s="2" t="s">
        <v>13</v>
      </c>
      <c r="O1" s="2" t="s">
        <v>14</v>
      </c>
      <c r="P1" s="3" t="s">
        <v>15</v>
      </c>
      <c r="Q1" s="1" t="s">
        <v>16</v>
      </c>
      <c r="R1" s="1" t="s">
        <v>17</v>
      </c>
    </row>
    <row r="2">
      <c r="A2" s="4" t="s">
        <v>18</v>
      </c>
      <c r="B2" s="4" t="s">
        <v>19</v>
      </c>
      <c r="C2" s="4" t="s">
        <v>19</v>
      </c>
      <c r="D2" s="4" t="s">
        <v>19</v>
      </c>
      <c r="E2" s="4" t="s">
        <v>19</v>
      </c>
      <c r="F2" s="4" t="s">
        <v>20</v>
      </c>
      <c r="G2" s="4" t="s">
        <v>20</v>
      </c>
      <c r="H2" s="4"/>
      <c r="I2" s="4">
        <v>60.0</v>
      </c>
      <c r="J2" s="4">
        <v>0.0</v>
      </c>
      <c r="K2" s="5">
        <f t="shared" ref="K2:K8" si="1">IF(SUM(I2:J2)=0,"",I2/SUM(I2:J2))</f>
        <v>1</v>
      </c>
      <c r="L2" s="6">
        <v>0.583</v>
      </c>
      <c r="M2" s="6">
        <v>0.366</v>
      </c>
      <c r="N2" s="6">
        <v>0.05</v>
      </c>
      <c r="O2" s="4" t="s">
        <v>21</v>
      </c>
      <c r="P2" s="7" t="s">
        <v>22</v>
      </c>
      <c r="Q2" s="4" t="s">
        <v>23</v>
      </c>
      <c r="R2" s="8" t="s">
        <v>24</v>
      </c>
      <c r="S2" s="9"/>
      <c r="T2" s="9"/>
      <c r="U2" s="9"/>
      <c r="V2" s="9"/>
      <c r="W2" s="9"/>
      <c r="X2" s="9"/>
      <c r="Y2" s="9"/>
      <c r="Z2" s="9"/>
    </row>
    <row r="3">
      <c r="A3" s="4" t="s">
        <v>25</v>
      </c>
      <c r="B3" s="4" t="s">
        <v>26</v>
      </c>
      <c r="C3" s="4" t="s">
        <v>19</v>
      </c>
      <c r="D3" s="4" t="s">
        <v>26</v>
      </c>
      <c r="E3" s="4" t="s">
        <v>19</v>
      </c>
      <c r="F3" s="4" t="s">
        <v>20</v>
      </c>
      <c r="G3" s="4" t="s">
        <v>20</v>
      </c>
      <c r="H3" s="10"/>
      <c r="I3" s="4">
        <v>118.0</v>
      </c>
      <c r="J3" s="4">
        <v>0.0</v>
      </c>
      <c r="K3" s="5">
        <f t="shared" si="1"/>
        <v>1</v>
      </c>
      <c r="L3" s="6">
        <v>0.635</v>
      </c>
      <c r="M3" s="6">
        <v>0.237</v>
      </c>
      <c r="N3" s="11">
        <v>12.71</v>
      </c>
      <c r="O3" s="12" t="s">
        <v>27</v>
      </c>
      <c r="P3" s="7" t="s">
        <v>28</v>
      </c>
      <c r="Q3" s="4" t="s">
        <v>29</v>
      </c>
      <c r="R3" s="8" t="s">
        <v>30</v>
      </c>
      <c r="S3" s="9"/>
      <c r="T3" s="9"/>
      <c r="U3" s="9"/>
      <c r="V3" s="9"/>
      <c r="W3" s="9"/>
      <c r="X3" s="9"/>
      <c r="Y3" s="9"/>
      <c r="Z3" s="9"/>
    </row>
    <row r="4">
      <c r="A4" s="4" t="s">
        <v>31</v>
      </c>
      <c r="B4" s="4" t="s">
        <v>19</v>
      </c>
      <c r="C4" s="4" t="s">
        <v>19</v>
      </c>
      <c r="D4" s="10"/>
      <c r="E4" s="10"/>
      <c r="F4" s="4" t="s">
        <v>20</v>
      </c>
      <c r="G4" s="4" t="s">
        <v>20</v>
      </c>
      <c r="H4" s="10"/>
      <c r="I4" s="4">
        <v>44.0</v>
      </c>
      <c r="J4" s="4">
        <v>0.0</v>
      </c>
      <c r="K4" s="5">
        <f t="shared" si="1"/>
        <v>1</v>
      </c>
      <c r="L4" s="6">
        <v>0.318</v>
      </c>
      <c r="M4" s="6">
        <v>0.4773</v>
      </c>
      <c r="N4" s="6">
        <v>0.2045</v>
      </c>
      <c r="O4" s="4" t="s">
        <v>21</v>
      </c>
      <c r="P4" s="13" t="s">
        <v>32</v>
      </c>
      <c r="Q4" s="4" t="s">
        <v>23</v>
      </c>
      <c r="R4" s="8" t="s">
        <v>33</v>
      </c>
      <c r="S4" s="9"/>
      <c r="T4" s="9"/>
      <c r="U4" s="9"/>
      <c r="V4" s="9"/>
      <c r="W4" s="9"/>
      <c r="X4" s="9"/>
      <c r="Y4" s="9"/>
      <c r="Z4" s="9"/>
    </row>
    <row r="5">
      <c r="A5" s="4" t="s">
        <v>34</v>
      </c>
      <c r="B5" s="4" t="s">
        <v>26</v>
      </c>
      <c r="C5" s="4" t="s">
        <v>19</v>
      </c>
      <c r="D5" s="4" t="s">
        <v>26</v>
      </c>
      <c r="E5" s="4" t="s">
        <v>19</v>
      </c>
      <c r="F5" s="4" t="s">
        <v>20</v>
      </c>
      <c r="G5" s="4" t="s">
        <v>20</v>
      </c>
      <c r="H5" s="10"/>
      <c r="I5" s="4">
        <v>122.0</v>
      </c>
      <c r="J5" s="4">
        <v>0.0</v>
      </c>
      <c r="K5" s="5">
        <f t="shared" si="1"/>
        <v>1</v>
      </c>
      <c r="L5" s="14">
        <v>0.7459</v>
      </c>
      <c r="M5" s="6">
        <v>0.1803</v>
      </c>
      <c r="N5" s="6">
        <v>0.0738</v>
      </c>
      <c r="O5" s="4" t="s">
        <v>35</v>
      </c>
      <c r="P5" s="15" t="s">
        <v>36</v>
      </c>
      <c r="Q5" s="4" t="s">
        <v>23</v>
      </c>
      <c r="R5" s="8" t="s">
        <v>37</v>
      </c>
      <c r="S5" s="9"/>
      <c r="T5" s="9"/>
      <c r="U5" s="9"/>
      <c r="V5" s="9"/>
      <c r="W5" s="9"/>
      <c r="X5" s="9"/>
      <c r="Y5" s="9"/>
      <c r="Z5" s="9"/>
    </row>
    <row r="6">
      <c r="A6" s="4" t="s">
        <v>38</v>
      </c>
      <c r="B6" s="4" t="s">
        <v>19</v>
      </c>
      <c r="C6" s="4" t="s">
        <v>19</v>
      </c>
      <c r="D6" s="4" t="s">
        <v>26</v>
      </c>
      <c r="E6" s="4" t="s">
        <v>19</v>
      </c>
      <c r="F6" s="4" t="s">
        <v>20</v>
      </c>
      <c r="G6" s="4" t="s">
        <v>19</v>
      </c>
      <c r="H6" s="16" t="s">
        <v>39</v>
      </c>
      <c r="I6" s="4">
        <v>26.0</v>
      </c>
      <c r="J6" s="4">
        <v>119.0</v>
      </c>
      <c r="K6" s="5">
        <f t="shared" si="1"/>
        <v>0.1793103448</v>
      </c>
      <c r="L6" s="6">
        <v>0.5862</v>
      </c>
      <c r="M6" s="11">
        <v>15.17</v>
      </c>
      <c r="N6" s="6">
        <v>0.2621</v>
      </c>
      <c r="O6" s="10"/>
      <c r="P6" s="17" t="s">
        <v>40</v>
      </c>
      <c r="Q6" s="4" t="s">
        <v>41</v>
      </c>
      <c r="R6" s="18" t="s">
        <v>42</v>
      </c>
      <c r="S6" s="9"/>
      <c r="T6" s="9"/>
      <c r="U6" s="9"/>
      <c r="V6" s="9"/>
      <c r="W6" s="9"/>
      <c r="X6" s="9"/>
      <c r="Y6" s="9"/>
      <c r="Z6" s="9"/>
    </row>
    <row r="7">
      <c r="A7" s="4" t="s">
        <v>43</v>
      </c>
      <c r="B7" s="4" t="s">
        <v>19</v>
      </c>
      <c r="C7" s="4" t="s">
        <v>19</v>
      </c>
      <c r="D7" s="4" t="s">
        <v>26</v>
      </c>
      <c r="E7" s="4" t="s">
        <v>26</v>
      </c>
      <c r="F7" s="4" t="s">
        <v>20</v>
      </c>
      <c r="G7" s="4" t="s">
        <v>19</v>
      </c>
      <c r="H7" s="16" t="s">
        <v>44</v>
      </c>
      <c r="I7" s="4">
        <v>49.0</v>
      </c>
      <c r="J7" s="4">
        <v>213.0</v>
      </c>
      <c r="K7" s="5">
        <f t="shared" si="1"/>
        <v>0.1870229008</v>
      </c>
      <c r="L7" s="6">
        <v>0.1565</v>
      </c>
      <c r="M7" s="6">
        <v>0.3817</v>
      </c>
      <c r="N7" s="11">
        <v>46.18</v>
      </c>
      <c r="O7" s="8" t="s">
        <v>45</v>
      </c>
      <c r="P7" s="19" t="s">
        <v>46</v>
      </c>
      <c r="Q7" s="4" t="s">
        <v>29</v>
      </c>
      <c r="R7" s="8"/>
      <c r="S7" s="9"/>
      <c r="T7" s="9"/>
      <c r="U7" s="9"/>
      <c r="V7" s="9"/>
      <c r="W7" s="9"/>
      <c r="X7" s="9"/>
      <c r="Y7" s="9"/>
      <c r="Z7" s="9"/>
    </row>
    <row r="8">
      <c r="A8" s="4" t="s">
        <v>47</v>
      </c>
      <c r="B8" s="4" t="s">
        <v>19</v>
      </c>
      <c r="C8" s="4" t="s">
        <v>19</v>
      </c>
      <c r="D8" s="4" t="s">
        <v>26</v>
      </c>
      <c r="E8" s="4" t="s">
        <v>26</v>
      </c>
      <c r="F8" s="4" t="s">
        <v>20</v>
      </c>
      <c r="G8" s="4" t="s">
        <v>19</v>
      </c>
      <c r="H8" s="16" t="s">
        <v>48</v>
      </c>
      <c r="I8" s="4">
        <v>48.0</v>
      </c>
      <c r="J8" s="4">
        <v>180.0</v>
      </c>
      <c r="K8" s="5">
        <f t="shared" si="1"/>
        <v>0.2105263158</v>
      </c>
      <c r="L8" s="6">
        <v>0.2719</v>
      </c>
      <c r="M8" s="6">
        <v>0.3289</v>
      </c>
      <c r="N8" s="6">
        <v>0.3991</v>
      </c>
      <c r="O8" s="8" t="s">
        <v>45</v>
      </c>
      <c r="P8" s="17" t="s">
        <v>49</v>
      </c>
      <c r="Q8" s="4" t="s">
        <v>29</v>
      </c>
      <c r="R8" s="10"/>
      <c r="S8" s="9"/>
      <c r="T8" s="9"/>
      <c r="U8" s="9"/>
      <c r="V8" s="9"/>
      <c r="W8" s="9"/>
      <c r="X8" s="9"/>
      <c r="Y8" s="9"/>
      <c r="Z8" s="9"/>
    </row>
    <row r="9">
      <c r="A9" s="4" t="s">
        <v>50</v>
      </c>
      <c r="B9" s="4" t="s">
        <v>26</v>
      </c>
      <c r="C9" s="4" t="s">
        <v>26</v>
      </c>
      <c r="D9" s="4" t="s">
        <v>26</v>
      </c>
      <c r="E9" s="4" t="s">
        <v>26</v>
      </c>
      <c r="F9" s="4" t="s">
        <v>20</v>
      </c>
      <c r="G9" s="4" t="s">
        <v>19</v>
      </c>
      <c r="H9" s="20" t="s">
        <v>51</v>
      </c>
      <c r="I9" s="4">
        <v>47.0</v>
      </c>
      <c r="J9" s="4">
        <v>41.0</v>
      </c>
      <c r="K9" s="6">
        <v>0.6023</v>
      </c>
      <c r="L9" s="6">
        <v>0.1364</v>
      </c>
      <c r="M9" s="6">
        <v>0.2614</v>
      </c>
      <c r="N9" s="6">
        <v>0.2482</v>
      </c>
      <c r="O9" s="4" t="s">
        <v>52</v>
      </c>
      <c r="P9" s="4" t="s">
        <v>53</v>
      </c>
      <c r="Q9" s="4" t="s">
        <v>29</v>
      </c>
      <c r="R9" s="10"/>
      <c r="S9" s="9"/>
      <c r="T9" s="9"/>
      <c r="U9" s="9"/>
      <c r="V9" s="9"/>
      <c r="W9" s="9"/>
      <c r="X9" s="9"/>
      <c r="Y9" s="9"/>
      <c r="Z9" s="9"/>
    </row>
    <row r="10">
      <c r="A10" s="4" t="s">
        <v>54</v>
      </c>
      <c r="B10" s="4" t="s">
        <v>20</v>
      </c>
      <c r="C10" s="4" t="s">
        <v>20</v>
      </c>
      <c r="D10" s="4" t="s">
        <v>19</v>
      </c>
      <c r="E10" s="4" t="s">
        <v>19</v>
      </c>
      <c r="F10" s="4" t="s">
        <v>20</v>
      </c>
      <c r="G10" s="4" t="s">
        <v>20</v>
      </c>
      <c r="H10" s="10"/>
      <c r="I10" s="4">
        <v>84.0</v>
      </c>
      <c r="J10" s="4">
        <v>126.0</v>
      </c>
      <c r="K10" s="5">
        <f>IF(SUM(I10:J10)=0,"",I10/SUM(I10:J10))</f>
        <v>0.4</v>
      </c>
      <c r="L10" s="21">
        <v>0.6619</v>
      </c>
      <c r="M10" s="21">
        <v>0.2286</v>
      </c>
      <c r="N10" s="6">
        <v>0.1095</v>
      </c>
      <c r="O10" s="4" t="s">
        <v>55</v>
      </c>
      <c r="P10" s="17" t="s">
        <v>56</v>
      </c>
      <c r="Q10" s="4" t="s">
        <v>29</v>
      </c>
      <c r="R10" s="10"/>
      <c r="S10" s="9"/>
      <c r="T10" s="9"/>
      <c r="U10" s="9"/>
      <c r="V10" s="9"/>
      <c r="W10" s="9"/>
      <c r="X10" s="9"/>
      <c r="Y10" s="9"/>
      <c r="Z10" s="9"/>
    </row>
    <row r="11">
      <c r="A11" s="4" t="s">
        <v>57</v>
      </c>
      <c r="B11" s="4" t="s">
        <v>19</v>
      </c>
      <c r="C11" s="4" t="s">
        <v>19</v>
      </c>
      <c r="D11" s="4" t="s">
        <v>19</v>
      </c>
      <c r="E11" s="4" t="s">
        <v>19</v>
      </c>
      <c r="F11" s="4" t="s">
        <v>20</v>
      </c>
      <c r="G11" s="4" t="s">
        <v>20</v>
      </c>
      <c r="H11" s="10"/>
      <c r="I11" s="4">
        <v>0.0</v>
      </c>
      <c r="J11" s="4">
        <v>0.0</v>
      </c>
      <c r="K11" s="6">
        <v>0.0</v>
      </c>
      <c r="L11" s="6">
        <v>0.0</v>
      </c>
      <c r="M11" s="6">
        <v>0.0</v>
      </c>
      <c r="N11" s="6">
        <v>0.0</v>
      </c>
      <c r="O11" s="4" t="s">
        <v>58</v>
      </c>
      <c r="P11" s="15" t="s">
        <v>59</v>
      </c>
      <c r="Q11" s="4" t="s">
        <v>41</v>
      </c>
      <c r="R11" s="10"/>
      <c r="S11" s="9"/>
      <c r="T11" s="9"/>
      <c r="U11" s="9"/>
      <c r="V11" s="9"/>
      <c r="W11" s="9"/>
      <c r="X11" s="9"/>
      <c r="Y11" s="9"/>
      <c r="Z11" s="9"/>
    </row>
    <row r="12">
      <c r="A12" s="4" t="s">
        <v>60</v>
      </c>
      <c r="B12" s="4" t="s">
        <v>19</v>
      </c>
      <c r="C12" s="4" t="s">
        <v>19</v>
      </c>
      <c r="D12" s="4" t="s">
        <v>19</v>
      </c>
      <c r="E12" s="4" t="s">
        <v>19</v>
      </c>
      <c r="F12" s="4" t="s">
        <v>20</v>
      </c>
      <c r="G12" s="4" t="s">
        <v>20</v>
      </c>
      <c r="H12" s="10"/>
      <c r="I12" s="4">
        <v>0.0</v>
      </c>
      <c r="J12" s="4">
        <v>0.0</v>
      </c>
      <c r="K12" s="6">
        <v>0.0</v>
      </c>
      <c r="L12" s="6">
        <v>0.0</v>
      </c>
      <c r="M12" s="6">
        <v>0.0</v>
      </c>
      <c r="N12" s="6">
        <v>0.0</v>
      </c>
      <c r="O12" s="4" t="s">
        <v>61</v>
      </c>
      <c r="P12" s="15" t="s">
        <v>62</v>
      </c>
      <c r="Q12" s="4" t="s">
        <v>23</v>
      </c>
      <c r="R12" s="10"/>
      <c r="S12" s="9"/>
      <c r="T12" s="9"/>
      <c r="U12" s="9"/>
      <c r="V12" s="9"/>
      <c r="W12" s="9"/>
      <c r="X12" s="9"/>
      <c r="Y12" s="9"/>
      <c r="Z12" s="9"/>
    </row>
    <row r="13">
      <c r="A13" s="4" t="s">
        <v>63</v>
      </c>
      <c r="B13" s="4" t="s">
        <v>19</v>
      </c>
      <c r="C13" s="4" t="s">
        <v>19</v>
      </c>
      <c r="D13" s="4" t="s">
        <v>19</v>
      </c>
      <c r="E13" s="4" t="s">
        <v>19</v>
      </c>
      <c r="F13" s="4" t="s">
        <v>20</v>
      </c>
      <c r="G13" s="4" t="s">
        <v>20</v>
      </c>
      <c r="H13" s="10"/>
      <c r="I13" s="4">
        <v>0.0</v>
      </c>
      <c r="J13" s="4">
        <v>0.0</v>
      </c>
      <c r="K13" s="6">
        <v>0.0</v>
      </c>
      <c r="L13" s="6">
        <v>0.0</v>
      </c>
      <c r="M13" s="6">
        <v>0.0</v>
      </c>
      <c r="N13" s="6">
        <v>0.0</v>
      </c>
      <c r="O13" s="4" t="s">
        <v>64</v>
      </c>
      <c r="P13" s="15" t="s">
        <v>65</v>
      </c>
      <c r="Q13" s="4" t="s">
        <v>23</v>
      </c>
      <c r="R13" s="10"/>
      <c r="S13" s="9"/>
      <c r="T13" s="9"/>
      <c r="U13" s="9"/>
      <c r="V13" s="9"/>
      <c r="W13" s="9"/>
      <c r="X13" s="9"/>
      <c r="Y13" s="9"/>
      <c r="Z13" s="9"/>
    </row>
    <row r="14">
      <c r="A14" s="4" t="s">
        <v>66</v>
      </c>
      <c r="B14" s="4" t="s">
        <v>19</v>
      </c>
      <c r="C14" s="4" t="s">
        <v>19</v>
      </c>
      <c r="D14" s="4" t="s">
        <v>19</v>
      </c>
      <c r="E14" s="4" t="s">
        <v>19</v>
      </c>
      <c r="F14" s="4" t="s">
        <v>20</v>
      </c>
      <c r="G14" s="4" t="s">
        <v>20</v>
      </c>
      <c r="H14" s="10"/>
      <c r="I14" s="4">
        <v>8.0</v>
      </c>
      <c r="J14" s="4">
        <v>29.0</v>
      </c>
      <c r="K14" s="5">
        <f t="shared" ref="K14:K15" si="2">IF(SUM(I14:J14)=0,"",I14/SUM(I14:J14))</f>
        <v>0.2162162162</v>
      </c>
      <c r="L14" s="6">
        <v>0.0</v>
      </c>
      <c r="M14" s="6">
        <v>0.8108</v>
      </c>
      <c r="N14" s="6">
        <v>0.189</v>
      </c>
      <c r="O14" s="20" t="s">
        <v>67</v>
      </c>
      <c r="P14" s="17" t="s">
        <v>68</v>
      </c>
      <c r="Q14" s="4" t="s">
        <v>23</v>
      </c>
      <c r="R14" s="10"/>
      <c r="S14" s="9"/>
      <c r="T14" s="9"/>
      <c r="U14" s="9"/>
      <c r="V14" s="9"/>
      <c r="W14" s="9"/>
      <c r="X14" s="9"/>
      <c r="Y14" s="9"/>
      <c r="Z14" s="9"/>
    </row>
    <row r="15" ht="15.75" customHeight="1">
      <c r="H15" s="22"/>
      <c r="I15" s="23"/>
      <c r="J15" s="23"/>
      <c r="K15" s="24" t="str">
        <f t="shared" si="2"/>
        <v/>
      </c>
      <c r="L15" s="24"/>
      <c r="M15" s="24"/>
      <c r="N15" s="24"/>
      <c r="O15" s="23"/>
      <c r="P15" s="25"/>
      <c r="R15" s="23"/>
    </row>
    <row r="16" ht="15.75" customHeight="1">
      <c r="H16" s="22"/>
      <c r="K16" s="26"/>
      <c r="L16" s="26"/>
      <c r="M16" s="26"/>
      <c r="N16" s="26"/>
      <c r="P16" s="27"/>
      <c r="R16" s="23"/>
    </row>
    <row r="17" ht="15.75" customHeight="1">
      <c r="H17" s="22"/>
      <c r="I17" s="23"/>
      <c r="J17" s="23"/>
      <c r="K17" s="24" t="str">
        <f>IF(SUM(I17:J17)=0,"",I17/SUM(I17:J17))</f>
        <v/>
      </c>
      <c r="L17" s="24"/>
      <c r="M17" s="24"/>
      <c r="N17" s="24"/>
      <c r="O17" s="23"/>
      <c r="P17" s="25"/>
      <c r="R17" s="23"/>
    </row>
    <row r="18" ht="15.75" customHeight="1">
      <c r="H18" s="22"/>
      <c r="K18" s="26"/>
      <c r="L18" s="26"/>
      <c r="M18" s="26"/>
      <c r="N18" s="26"/>
      <c r="P18" s="27"/>
      <c r="R18" s="23"/>
    </row>
    <row r="19" ht="15.75" customHeight="1">
      <c r="H19" s="22"/>
      <c r="I19" s="23"/>
      <c r="J19" s="23"/>
      <c r="K19" s="24" t="str">
        <f>IF(SUM(I19:J19)=0,"",I19/SUM(I19:J19))</f>
        <v/>
      </c>
      <c r="L19" s="24"/>
      <c r="M19" s="24"/>
      <c r="N19" s="24"/>
      <c r="O19" s="23"/>
      <c r="P19" s="25"/>
      <c r="R19" s="23"/>
    </row>
    <row r="20" ht="15.75" customHeight="1">
      <c r="H20" s="22"/>
      <c r="K20" s="26"/>
      <c r="L20" s="26"/>
      <c r="M20" s="26"/>
      <c r="N20" s="26"/>
      <c r="P20" s="27"/>
      <c r="R20" s="23"/>
    </row>
    <row r="21" ht="15.75" customHeight="1">
      <c r="H21" s="22"/>
      <c r="I21" s="23"/>
      <c r="J21" s="23"/>
      <c r="K21" s="24" t="str">
        <f>IF(SUM(I21:J21)=0,"",I21/SUM(I21:J21))</f>
        <v/>
      </c>
      <c r="L21" s="24"/>
      <c r="M21" s="24"/>
      <c r="N21" s="24"/>
      <c r="O21" s="23"/>
      <c r="P21" s="25"/>
      <c r="R21" s="23"/>
    </row>
    <row r="22" ht="15.75" customHeight="1">
      <c r="H22" s="22"/>
      <c r="K22" s="26"/>
      <c r="L22" s="26"/>
      <c r="M22" s="26"/>
      <c r="N22" s="26"/>
      <c r="P22" s="27"/>
      <c r="R22" s="23"/>
    </row>
    <row r="23" ht="15.75" customHeight="1">
      <c r="H23" s="22"/>
      <c r="I23" s="23"/>
      <c r="J23" s="23"/>
      <c r="K23" s="24" t="str">
        <f>IF(SUM(I23:J23)=0,"",I23/SUM(I23:J23))</f>
        <v/>
      </c>
      <c r="L23" s="24"/>
      <c r="M23" s="24"/>
      <c r="N23" s="24"/>
      <c r="O23" s="23"/>
      <c r="P23" s="25"/>
      <c r="R23" s="23"/>
    </row>
    <row r="24" ht="15.75" customHeight="1">
      <c r="H24" s="22"/>
      <c r="K24" s="26"/>
      <c r="L24" s="26"/>
      <c r="M24" s="26"/>
      <c r="N24" s="26"/>
      <c r="P24" s="27"/>
      <c r="R24" s="23"/>
    </row>
    <row r="25" ht="15.75" customHeight="1">
      <c r="H25" s="22"/>
      <c r="I25" s="23"/>
      <c r="J25" s="23"/>
      <c r="K25" s="24" t="str">
        <f>IF(SUM(I25:J25)=0,"",I25/SUM(I25:J25))</f>
        <v/>
      </c>
      <c r="L25" s="24"/>
      <c r="M25" s="24"/>
      <c r="N25" s="24"/>
      <c r="O25" s="23"/>
      <c r="P25" s="25"/>
      <c r="R25" s="23"/>
    </row>
    <row r="26" ht="15.75" customHeight="1">
      <c r="H26" s="22"/>
      <c r="K26" s="26"/>
      <c r="L26" s="26"/>
      <c r="M26" s="26"/>
      <c r="N26" s="26"/>
      <c r="P26" s="27"/>
      <c r="R26" s="23"/>
    </row>
    <row r="27" ht="15.75" customHeight="1">
      <c r="H27" s="22"/>
      <c r="I27" s="23"/>
      <c r="J27" s="23"/>
      <c r="K27" s="24" t="str">
        <f>IF(SUM(I27:J27)=0,"",I27/SUM(I27:J27))</f>
        <v/>
      </c>
      <c r="L27" s="24"/>
      <c r="M27" s="24"/>
      <c r="N27" s="24"/>
      <c r="O27" s="23"/>
      <c r="P27" s="25"/>
      <c r="R27" s="23"/>
    </row>
    <row r="28" ht="15.75" customHeight="1">
      <c r="H28" s="22"/>
      <c r="K28" s="26"/>
      <c r="L28" s="26"/>
      <c r="M28" s="26"/>
      <c r="N28" s="26"/>
      <c r="P28" s="27"/>
      <c r="R28" s="23"/>
    </row>
    <row r="29" ht="15.75" customHeight="1">
      <c r="H29" s="22"/>
      <c r="I29" s="23"/>
      <c r="J29" s="23"/>
      <c r="K29" s="24" t="str">
        <f>IF(SUM(I29:J29)=0,"",I29/SUM(I29:J29))</f>
        <v/>
      </c>
      <c r="L29" s="24"/>
      <c r="M29" s="24"/>
      <c r="N29" s="24"/>
      <c r="O29" s="23"/>
      <c r="P29" s="25"/>
      <c r="R29" s="23"/>
    </row>
    <row r="30" ht="15.75" customHeight="1">
      <c r="H30" s="22"/>
      <c r="K30" s="26"/>
      <c r="L30" s="26"/>
      <c r="M30" s="26"/>
      <c r="N30" s="26"/>
      <c r="P30" s="27"/>
      <c r="R30" s="23"/>
    </row>
    <row r="31" ht="15.75" customHeight="1">
      <c r="H31" s="22"/>
      <c r="I31" s="23"/>
      <c r="J31" s="23"/>
      <c r="K31" s="24" t="str">
        <f>IF(SUM(I31:J31)=0,"",I31/SUM(I31:J31))</f>
        <v/>
      </c>
      <c r="L31" s="24"/>
      <c r="M31" s="24"/>
      <c r="N31" s="24"/>
      <c r="O31" s="23"/>
      <c r="P31" s="25"/>
      <c r="R31" s="23"/>
    </row>
    <row r="32" ht="15.75" customHeight="1">
      <c r="H32" s="22"/>
      <c r="K32" s="26"/>
      <c r="L32" s="26"/>
      <c r="M32" s="26"/>
      <c r="N32" s="26"/>
      <c r="P32" s="27"/>
      <c r="R32" s="23"/>
    </row>
    <row r="33" ht="15.75" customHeight="1">
      <c r="H33" s="22"/>
      <c r="I33" s="23"/>
      <c r="J33" s="23"/>
      <c r="K33" s="24" t="str">
        <f>IF(SUM(I33:J33)=0,"",I33/SUM(I33:J33))</f>
        <v/>
      </c>
      <c r="L33" s="24"/>
      <c r="M33" s="24"/>
      <c r="N33" s="24"/>
      <c r="O33" s="23"/>
      <c r="P33" s="25"/>
      <c r="R33" s="23"/>
    </row>
    <row r="34" ht="15.75" customHeight="1">
      <c r="H34" s="22"/>
      <c r="K34" s="26"/>
      <c r="L34" s="26"/>
      <c r="M34" s="26"/>
      <c r="N34" s="26"/>
      <c r="P34" s="27"/>
      <c r="R34" s="23"/>
    </row>
    <row r="35" ht="15.75" customHeight="1">
      <c r="H35" s="22"/>
      <c r="I35" s="23"/>
      <c r="J35" s="23"/>
      <c r="K35" s="24" t="str">
        <f>IF(SUM(I35:J35)=0,"",I35/SUM(I35:J35))</f>
        <v/>
      </c>
      <c r="L35" s="24"/>
      <c r="M35" s="24"/>
      <c r="N35" s="24"/>
      <c r="O35" s="23"/>
      <c r="P35" s="25"/>
      <c r="R35" s="23"/>
    </row>
    <row r="36" ht="15.75" customHeight="1">
      <c r="H36" s="22"/>
      <c r="K36" s="26"/>
      <c r="L36" s="26"/>
      <c r="M36" s="26"/>
      <c r="N36" s="26"/>
      <c r="P36" s="27"/>
      <c r="R36" s="23"/>
    </row>
    <row r="37" ht="15.75" customHeight="1">
      <c r="H37" s="22"/>
      <c r="I37" s="23"/>
      <c r="J37" s="23"/>
      <c r="K37" s="24" t="str">
        <f>IF(SUM(I37:J37)=0,"",I37/SUM(I37:J37))</f>
        <v/>
      </c>
      <c r="L37" s="24"/>
      <c r="M37" s="24"/>
      <c r="N37" s="24"/>
      <c r="O37" s="23"/>
      <c r="P37" s="25"/>
      <c r="R37" s="23"/>
    </row>
    <row r="38" ht="15.75" customHeight="1">
      <c r="H38" s="22"/>
      <c r="K38" s="26"/>
      <c r="L38" s="26"/>
      <c r="M38" s="26"/>
      <c r="N38" s="26"/>
      <c r="P38" s="27"/>
      <c r="R38" s="23"/>
    </row>
    <row r="39" ht="15.75" customHeight="1">
      <c r="H39" s="22"/>
      <c r="I39" s="23"/>
      <c r="J39" s="23"/>
      <c r="K39" s="24" t="str">
        <f>IF(SUM(I39:J39)=0,"",I39/SUM(I39:J39))</f>
        <v/>
      </c>
      <c r="L39" s="24"/>
      <c r="M39" s="24"/>
      <c r="N39" s="24"/>
      <c r="O39" s="23"/>
      <c r="P39" s="25"/>
      <c r="R39" s="23"/>
    </row>
    <row r="40" ht="15.75" customHeight="1">
      <c r="H40" s="22"/>
      <c r="K40" s="26"/>
      <c r="L40" s="26"/>
      <c r="M40" s="26"/>
      <c r="N40" s="26"/>
      <c r="P40" s="27"/>
      <c r="R40" s="23"/>
    </row>
    <row r="41" ht="15.75" customHeight="1">
      <c r="H41" s="22"/>
      <c r="I41" s="23"/>
      <c r="J41" s="23"/>
      <c r="K41" s="24" t="str">
        <f>IF(SUM(I41:J41)=0,"",I41/SUM(I41:J41))</f>
        <v/>
      </c>
      <c r="L41" s="24"/>
      <c r="M41" s="24"/>
      <c r="N41" s="24"/>
      <c r="O41" s="23"/>
      <c r="P41" s="25"/>
      <c r="R41" s="23"/>
    </row>
    <row r="42" ht="15.75" customHeight="1">
      <c r="H42" s="22"/>
      <c r="K42" s="26"/>
      <c r="L42" s="26"/>
      <c r="M42" s="26"/>
      <c r="N42" s="26"/>
      <c r="P42" s="27"/>
      <c r="R42" s="23"/>
    </row>
    <row r="43" ht="15.75" customHeight="1">
      <c r="H43" s="22"/>
      <c r="I43" s="23"/>
      <c r="J43" s="23"/>
      <c r="K43" s="24" t="str">
        <f>IF(SUM(I43:J43)=0,"",I43/SUM(I43:J43))</f>
        <v/>
      </c>
      <c r="L43" s="24"/>
      <c r="M43" s="24"/>
      <c r="N43" s="24"/>
      <c r="O43" s="23"/>
      <c r="P43" s="25"/>
      <c r="R43" s="23"/>
    </row>
    <row r="44" ht="15.75" customHeight="1">
      <c r="H44" s="22"/>
      <c r="K44" s="26"/>
      <c r="L44" s="26"/>
      <c r="M44" s="26"/>
      <c r="N44" s="26"/>
      <c r="P44" s="27"/>
      <c r="R44" s="23"/>
    </row>
    <row r="45" ht="15.75" customHeight="1">
      <c r="H45" s="22"/>
      <c r="I45" s="23"/>
      <c r="J45" s="23"/>
      <c r="K45" s="24" t="str">
        <f>IF(SUM(I45:J45)=0,"",I45/SUM(I45:J45))</f>
        <v/>
      </c>
      <c r="L45" s="24"/>
      <c r="M45" s="24"/>
      <c r="N45" s="24"/>
      <c r="O45" s="23"/>
      <c r="P45" s="25"/>
      <c r="R45" s="23"/>
    </row>
    <row r="46" ht="15.75" customHeight="1">
      <c r="H46" s="22"/>
      <c r="K46" s="26"/>
      <c r="L46" s="26"/>
      <c r="M46" s="26"/>
      <c r="N46" s="26"/>
      <c r="P46" s="27"/>
      <c r="R46" s="23"/>
    </row>
    <row r="47" ht="15.75" customHeight="1">
      <c r="H47" s="22"/>
      <c r="I47" s="23"/>
      <c r="J47" s="23"/>
      <c r="K47" s="24" t="str">
        <f>IF(SUM(I47:J47)=0,"",I47/SUM(I47:J47))</f>
        <v/>
      </c>
      <c r="L47" s="24"/>
      <c r="M47" s="24"/>
      <c r="N47" s="24"/>
      <c r="O47" s="23"/>
      <c r="P47" s="25"/>
      <c r="R47" s="23"/>
    </row>
    <row r="48" ht="15.75" customHeight="1">
      <c r="H48" s="22"/>
      <c r="K48" s="26"/>
      <c r="L48" s="26"/>
      <c r="M48" s="26"/>
      <c r="N48" s="26"/>
      <c r="P48" s="27"/>
      <c r="R48" s="23"/>
    </row>
    <row r="49" ht="15.75" customHeight="1">
      <c r="H49" s="22"/>
      <c r="I49" s="23"/>
      <c r="J49" s="23"/>
      <c r="K49" s="24" t="str">
        <f>IF(SUM(I49:J49)=0,"",I49/SUM(I49:J49))</f>
        <v/>
      </c>
      <c r="L49" s="24"/>
      <c r="M49" s="24"/>
      <c r="N49" s="24"/>
      <c r="O49" s="23"/>
      <c r="P49" s="25"/>
      <c r="R49" s="23"/>
    </row>
    <row r="50" ht="15.75" customHeight="1">
      <c r="H50" s="22"/>
      <c r="K50" s="26"/>
      <c r="L50" s="26"/>
      <c r="M50" s="26"/>
      <c r="N50" s="26"/>
      <c r="P50" s="27"/>
      <c r="R50" s="23"/>
    </row>
    <row r="51" ht="15.75" customHeight="1">
      <c r="H51" s="22"/>
      <c r="I51" s="23"/>
      <c r="J51" s="23"/>
      <c r="K51" s="24" t="str">
        <f>IF(SUM(I51:J51)=0,"",I51/SUM(I51:J51))</f>
        <v/>
      </c>
      <c r="L51" s="24"/>
      <c r="M51" s="24"/>
      <c r="N51" s="24"/>
      <c r="O51" s="23"/>
      <c r="P51" s="25"/>
      <c r="R51" s="23"/>
    </row>
    <row r="52" ht="15.75" customHeight="1">
      <c r="H52" s="22"/>
      <c r="K52" s="26"/>
      <c r="L52" s="26"/>
      <c r="M52" s="26"/>
      <c r="N52" s="26"/>
      <c r="P52" s="27"/>
      <c r="R52" s="23"/>
    </row>
    <row r="53" ht="15.75" customHeight="1">
      <c r="H53" s="22"/>
      <c r="I53" s="23"/>
      <c r="J53" s="23"/>
      <c r="K53" s="24" t="str">
        <f>IF(SUM(I53:J53)=0,"",I53/SUM(I53:J53))</f>
        <v/>
      </c>
      <c r="L53" s="24"/>
      <c r="M53" s="24"/>
      <c r="N53" s="24"/>
      <c r="O53" s="23"/>
      <c r="P53" s="25"/>
      <c r="R53" s="23"/>
    </row>
    <row r="54" ht="15.75" customHeight="1">
      <c r="H54" s="22"/>
      <c r="K54" s="26"/>
      <c r="L54" s="26"/>
      <c r="M54" s="26"/>
      <c r="N54" s="26"/>
      <c r="P54" s="27"/>
      <c r="R54" s="23"/>
    </row>
    <row r="55" ht="15.75" customHeight="1">
      <c r="H55" s="22"/>
      <c r="I55" s="23"/>
      <c r="J55" s="23"/>
      <c r="K55" s="24" t="str">
        <f>IF(SUM(I55:J55)=0,"",I55/SUM(I55:J55))</f>
        <v/>
      </c>
      <c r="L55" s="24"/>
      <c r="M55" s="24"/>
      <c r="N55" s="24"/>
      <c r="O55" s="23"/>
      <c r="P55" s="25"/>
      <c r="R55" s="23"/>
    </row>
    <row r="56" ht="15.75" customHeight="1">
      <c r="H56" s="22"/>
      <c r="K56" s="26"/>
      <c r="L56" s="26"/>
      <c r="M56" s="26"/>
      <c r="N56" s="26"/>
      <c r="P56" s="27"/>
      <c r="R56" s="23"/>
    </row>
    <row r="57" ht="15.75" customHeight="1">
      <c r="H57" s="22"/>
      <c r="I57" s="23"/>
      <c r="J57" s="23"/>
      <c r="K57" s="24" t="str">
        <f>IF(SUM(I57:J57)=0,"",I57/SUM(I57:J57))</f>
        <v/>
      </c>
      <c r="L57" s="24"/>
      <c r="M57" s="24"/>
      <c r="N57" s="24"/>
      <c r="O57" s="23"/>
      <c r="P57" s="25"/>
      <c r="R57" s="23"/>
    </row>
    <row r="58" ht="15.75" customHeight="1">
      <c r="H58" s="22"/>
      <c r="K58" s="26"/>
      <c r="L58" s="26"/>
      <c r="M58" s="26"/>
      <c r="N58" s="26"/>
      <c r="P58" s="27"/>
      <c r="R58" s="23"/>
    </row>
    <row r="59" ht="15.75" customHeight="1">
      <c r="H59" s="22"/>
      <c r="I59" s="23"/>
      <c r="J59" s="23"/>
      <c r="K59" s="24" t="str">
        <f>IF(SUM(I59:J59)=0,"",I59/SUM(I59:J59))</f>
        <v/>
      </c>
      <c r="L59" s="24"/>
      <c r="M59" s="24"/>
      <c r="N59" s="24"/>
      <c r="O59" s="23"/>
      <c r="P59" s="25"/>
      <c r="R59" s="23"/>
    </row>
    <row r="60" ht="15.75" customHeight="1">
      <c r="H60" s="22"/>
      <c r="K60" s="26"/>
      <c r="L60" s="26"/>
      <c r="M60" s="26"/>
      <c r="N60" s="26"/>
      <c r="P60" s="27"/>
      <c r="R60" s="23"/>
    </row>
    <row r="61" ht="15.75" customHeight="1">
      <c r="H61" s="22"/>
      <c r="I61" s="23"/>
      <c r="J61" s="23"/>
      <c r="K61" s="24" t="str">
        <f>IF(SUM(I61:J61)=0,"",I61/SUM(I61:J61))</f>
        <v/>
      </c>
      <c r="L61" s="24"/>
      <c r="M61" s="24"/>
      <c r="N61" s="24"/>
      <c r="O61" s="23"/>
      <c r="P61" s="25"/>
      <c r="R61" s="23"/>
    </row>
    <row r="62" ht="15.75" customHeight="1">
      <c r="H62" s="22"/>
      <c r="K62" s="26"/>
      <c r="L62" s="26"/>
      <c r="M62" s="26"/>
      <c r="N62" s="26"/>
      <c r="P62" s="25"/>
      <c r="R62" s="23"/>
    </row>
    <row r="63" ht="15.75" customHeight="1">
      <c r="H63" s="22"/>
      <c r="I63" s="23"/>
      <c r="J63" s="23"/>
      <c r="K63" s="24" t="str">
        <f>IF(SUM(I63:J63)=0,"",I63/SUM(I63:J63))</f>
        <v/>
      </c>
      <c r="L63" s="24"/>
      <c r="M63" s="24"/>
      <c r="N63" s="24"/>
      <c r="O63" s="23"/>
      <c r="P63" s="25"/>
      <c r="R63" s="23"/>
    </row>
    <row r="64" ht="15.75" customHeight="1">
      <c r="H64" s="22"/>
      <c r="K64" s="26"/>
      <c r="L64" s="26"/>
      <c r="M64" s="26"/>
      <c r="N64" s="26"/>
      <c r="P64" s="25"/>
      <c r="R64" s="23"/>
    </row>
    <row r="65" ht="15.75" customHeight="1">
      <c r="H65" s="22"/>
      <c r="I65" s="23"/>
      <c r="J65" s="23"/>
      <c r="K65" s="24" t="str">
        <f>IF(SUM(I65:J65)=0,"",I65/SUM(I65:J65))</f>
        <v/>
      </c>
      <c r="L65" s="24"/>
      <c r="M65" s="24"/>
      <c r="N65" s="24"/>
      <c r="O65" s="23"/>
      <c r="P65" s="25"/>
      <c r="R65" s="23"/>
    </row>
    <row r="66" ht="15.75" customHeight="1">
      <c r="H66" s="22"/>
      <c r="K66" s="26"/>
      <c r="L66" s="26"/>
      <c r="M66" s="26"/>
      <c r="N66" s="26"/>
      <c r="P66" s="25"/>
      <c r="R66" s="23"/>
    </row>
    <row r="67" ht="15.75" customHeight="1">
      <c r="H67" s="22"/>
      <c r="I67" s="23"/>
      <c r="J67" s="23"/>
      <c r="K67" s="24" t="str">
        <f>IF(SUM(I67:J67)=0,"",I67/SUM(I67:J67))</f>
        <v/>
      </c>
      <c r="L67" s="24"/>
      <c r="M67" s="24"/>
      <c r="N67" s="24"/>
      <c r="O67" s="23"/>
      <c r="P67" s="25"/>
      <c r="R67" s="23"/>
    </row>
    <row r="68" ht="15.75" customHeight="1">
      <c r="H68" s="22"/>
      <c r="K68" s="26"/>
      <c r="L68" s="26"/>
      <c r="M68" s="26"/>
      <c r="N68" s="26"/>
      <c r="P68" s="25"/>
      <c r="R68" s="23"/>
    </row>
    <row r="69" ht="15.75" customHeight="1">
      <c r="H69" s="22"/>
      <c r="I69" s="23"/>
      <c r="J69" s="23"/>
      <c r="K69" s="24" t="str">
        <f>IF(SUM(I69:J69)=0,"",I69/SUM(I69:J69))</f>
        <v/>
      </c>
      <c r="L69" s="24"/>
      <c r="M69" s="24"/>
      <c r="N69" s="24"/>
      <c r="O69" s="23"/>
      <c r="P69" s="25"/>
      <c r="R69" s="23"/>
    </row>
    <row r="70" ht="15.75" customHeight="1">
      <c r="H70" s="22"/>
      <c r="K70" s="26"/>
      <c r="L70" s="26"/>
      <c r="M70" s="26"/>
      <c r="N70" s="26"/>
      <c r="P70" s="25"/>
      <c r="R70" s="23"/>
    </row>
    <row r="71" ht="15.75" customHeight="1">
      <c r="H71" s="22"/>
      <c r="I71" s="23"/>
      <c r="J71" s="23"/>
      <c r="K71" s="24" t="str">
        <f>IF(SUM(I71:J71)=0,"",I71/SUM(I71:J71))</f>
        <v/>
      </c>
      <c r="L71" s="24"/>
      <c r="M71" s="24"/>
      <c r="N71" s="24"/>
      <c r="O71" s="23"/>
      <c r="P71" s="25"/>
      <c r="R71" s="23"/>
    </row>
    <row r="72" ht="15.75" customHeight="1">
      <c r="H72" s="22"/>
      <c r="K72" s="26"/>
      <c r="L72" s="26"/>
      <c r="M72" s="26"/>
      <c r="N72" s="26"/>
      <c r="P72" s="25"/>
      <c r="R72" s="23"/>
    </row>
    <row r="73" ht="15.75" customHeight="1">
      <c r="H73" s="22"/>
      <c r="I73" s="23"/>
      <c r="J73" s="23"/>
      <c r="K73" s="24" t="str">
        <f>IF(SUM(I73:J73)=0,"",I73/SUM(I73:J73))</f>
        <v/>
      </c>
      <c r="L73" s="24"/>
      <c r="M73" s="24"/>
      <c r="N73" s="24"/>
      <c r="O73" s="23"/>
      <c r="P73" s="25"/>
      <c r="R73" s="23"/>
    </row>
    <row r="74" ht="15.75" customHeight="1">
      <c r="H74" s="22"/>
      <c r="K74" s="26"/>
      <c r="L74" s="26"/>
      <c r="M74" s="26"/>
      <c r="N74" s="26"/>
      <c r="P74" s="25"/>
      <c r="R74" s="23"/>
    </row>
    <row r="75" ht="15.75" customHeight="1">
      <c r="H75" s="22"/>
      <c r="I75" s="23"/>
      <c r="J75" s="23"/>
      <c r="K75" s="24" t="str">
        <f>IF(SUM(I75:J75)=0,"",I75/SUM(I75:J75))</f>
        <v/>
      </c>
      <c r="L75" s="24"/>
      <c r="M75" s="24"/>
      <c r="N75" s="24"/>
      <c r="O75" s="23"/>
      <c r="P75" s="25"/>
      <c r="R75" s="23"/>
    </row>
    <row r="76" ht="15.75" customHeight="1">
      <c r="H76" s="22"/>
      <c r="K76" s="26"/>
      <c r="L76" s="26"/>
      <c r="M76" s="26"/>
      <c r="N76" s="26"/>
      <c r="P76" s="25"/>
      <c r="R76" s="23"/>
    </row>
    <row r="77" ht="15.75" customHeight="1">
      <c r="H77" s="22"/>
      <c r="I77" s="23"/>
      <c r="J77" s="23"/>
      <c r="K77" s="24" t="str">
        <f>IF(SUM(I77:J77)=0,"",I77/SUM(I77:J77))</f>
        <v/>
      </c>
      <c r="L77" s="24"/>
      <c r="M77" s="24"/>
      <c r="N77" s="24"/>
      <c r="O77" s="23"/>
      <c r="P77" s="25"/>
      <c r="R77" s="23"/>
    </row>
    <row r="78" ht="15.75" customHeight="1">
      <c r="H78" s="22"/>
      <c r="I78" s="23"/>
      <c r="K78" s="26"/>
      <c r="L78" s="26"/>
      <c r="M78" s="26"/>
      <c r="N78" s="26"/>
      <c r="P78" s="25"/>
      <c r="R78" s="23"/>
    </row>
    <row r="79" ht="15.75" customHeight="1">
      <c r="H79" s="22"/>
      <c r="J79" s="23"/>
      <c r="K79" s="24" t="str">
        <f>IF(SUM(I79:J79)=0,"",I79/SUM(I79:J79))</f>
        <v/>
      </c>
      <c r="L79" s="24"/>
      <c r="M79" s="24"/>
      <c r="N79" s="24"/>
      <c r="O79" s="23"/>
      <c r="P79" s="25"/>
      <c r="R79" s="23"/>
    </row>
    <row r="80" ht="15.75" customHeight="1">
      <c r="H80" s="22"/>
      <c r="I80" s="23"/>
      <c r="K80" s="26"/>
      <c r="L80" s="26"/>
      <c r="M80" s="26"/>
      <c r="N80" s="26"/>
      <c r="P80" s="25"/>
      <c r="R80" s="23"/>
    </row>
    <row r="81" ht="15.75" customHeight="1">
      <c r="H81" s="22"/>
      <c r="I81" s="23"/>
      <c r="J81" s="23"/>
      <c r="K81" s="24" t="str">
        <f>IF(SUM(I81:J81)=0,"",I81/SUM(I81:J81))</f>
        <v/>
      </c>
      <c r="L81" s="24"/>
      <c r="M81" s="24"/>
      <c r="N81" s="24"/>
      <c r="O81" s="23"/>
      <c r="P81" s="25"/>
      <c r="R81" s="23"/>
    </row>
    <row r="82" ht="15.75" customHeight="1">
      <c r="H82" s="22"/>
      <c r="K82" s="26"/>
      <c r="L82" s="26"/>
      <c r="M82" s="26"/>
      <c r="N82" s="26"/>
      <c r="P82" s="25"/>
      <c r="R82" s="23"/>
    </row>
    <row r="83" ht="15.75" customHeight="1">
      <c r="H83" s="22"/>
      <c r="I83" s="23"/>
      <c r="J83" s="23"/>
      <c r="K83" s="24" t="str">
        <f>IF(SUM(I83:J83)=0,"",I83/SUM(I83:J83))</f>
        <v/>
      </c>
      <c r="L83" s="24"/>
      <c r="M83" s="24"/>
      <c r="N83" s="24"/>
      <c r="O83" s="23"/>
      <c r="P83" s="25"/>
      <c r="R83" s="23"/>
    </row>
    <row r="84" ht="15.75" customHeight="1">
      <c r="H84" s="22"/>
      <c r="I84" s="23"/>
      <c r="K84" s="26"/>
      <c r="L84" s="26"/>
      <c r="M84" s="26"/>
      <c r="N84" s="26"/>
      <c r="P84" s="25"/>
      <c r="R84" s="23"/>
    </row>
    <row r="85" ht="15.75" customHeight="1">
      <c r="H85" s="22"/>
      <c r="J85" s="23"/>
      <c r="K85" s="24" t="str">
        <f>IF(SUM(I85:J85)=0,"",I85/SUM(I85:J85))</f>
        <v/>
      </c>
      <c r="L85" s="24"/>
      <c r="M85" s="24"/>
      <c r="N85" s="24"/>
      <c r="O85" s="23"/>
      <c r="P85" s="25"/>
      <c r="R85" s="23"/>
    </row>
    <row r="86" ht="15.75" customHeight="1">
      <c r="H86" s="22"/>
      <c r="I86" s="23"/>
      <c r="K86" s="26"/>
      <c r="L86" s="26"/>
      <c r="M86" s="26"/>
      <c r="N86" s="26"/>
      <c r="P86" s="25"/>
      <c r="R86" s="23"/>
    </row>
    <row r="87" ht="15.75" customHeight="1">
      <c r="H87" s="22"/>
      <c r="I87" s="23"/>
      <c r="J87" s="23"/>
      <c r="K87" s="24" t="str">
        <f>IF(SUM(I87:J87)=0,"",I87/SUM(I87:J87))</f>
        <v/>
      </c>
      <c r="L87" s="24"/>
      <c r="M87" s="24"/>
      <c r="N87" s="24"/>
      <c r="O87" s="23"/>
      <c r="P87" s="25"/>
      <c r="R87" s="23"/>
    </row>
    <row r="88" ht="15.75" customHeight="1">
      <c r="H88" s="22"/>
      <c r="K88" s="26"/>
      <c r="L88" s="26"/>
      <c r="M88" s="26"/>
      <c r="N88" s="26"/>
      <c r="P88" s="25"/>
      <c r="R88" s="23"/>
    </row>
    <row r="89" ht="15.75" customHeight="1">
      <c r="H89" s="22"/>
      <c r="I89" s="23"/>
      <c r="J89" s="23"/>
      <c r="K89" s="24" t="str">
        <f>IF(SUM(I89:J89)=0,"",I89/SUM(I89:J89))</f>
        <v/>
      </c>
      <c r="L89" s="24"/>
      <c r="M89" s="24"/>
      <c r="N89" s="24"/>
      <c r="O89" s="23"/>
      <c r="P89" s="25"/>
      <c r="R89" s="23"/>
    </row>
    <row r="90" ht="15.75" customHeight="1">
      <c r="H90" s="22"/>
      <c r="I90" s="23"/>
      <c r="K90" s="26"/>
      <c r="L90" s="26"/>
      <c r="M90" s="26"/>
      <c r="N90" s="26"/>
      <c r="P90" s="25"/>
      <c r="R90" s="23"/>
    </row>
    <row r="91" ht="15.75" customHeight="1">
      <c r="H91" s="22"/>
      <c r="J91" s="23"/>
      <c r="K91" s="24" t="str">
        <f>IF(SUM(I91:J91)=0,"",I91/SUM(I91:J91))</f>
        <v/>
      </c>
      <c r="L91" s="24"/>
      <c r="M91" s="24"/>
      <c r="N91" s="24"/>
      <c r="O91" s="23"/>
      <c r="P91" s="25"/>
      <c r="R91" s="23"/>
    </row>
    <row r="92" ht="15.75" customHeight="1">
      <c r="H92" s="22"/>
      <c r="I92" s="23"/>
      <c r="K92" s="26"/>
      <c r="L92" s="26"/>
      <c r="M92" s="26"/>
      <c r="N92" s="26"/>
      <c r="P92" s="25"/>
      <c r="R92" s="23"/>
    </row>
    <row r="93" ht="15.75" customHeight="1">
      <c r="H93" s="22"/>
      <c r="I93" s="23"/>
      <c r="J93" s="23"/>
      <c r="K93" s="24" t="str">
        <f>IF(SUM(I93:J93)=0,"",I93/SUM(I93:J93))</f>
        <v/>
      </c>
      <c r="L93" s="24"/>
      <c r="M93" s="24"/>
      <c r="N93" s="24"/>
      <c r="O93" s="23"/>
      <c r="P93" s="25"/>
      <c r="R93" s="23"/>
    </row>
    <row r="94" ht="15.75" customHeight="1">
      <c r="H94" s="22"/>
      <c r="K94" s="26"/>
      <c r="L94" s="26"/>
      <c r="M94" s="26"/>
      <c r="N94" s="26"/>
      <c r="P94" s="25"/>
      <c r="R94" s="23"/>
    </row>
    <row r="95" ht="15.75" customHeight="1">
      <c r="H95" s="22"/>
      <c r="I95" s="23"/>
      <c r="J95" s="23"/>
      <c r="K95" s="24" t="str">
        <f>IF(SUM(I95:J95)=0,"",I95/SUM(I95:J95))</f>
        <v/>
      </c>
      <c r="L95" s="24"/>
      <c r="M95" s="24"/>
      <c r="N95" s="24"/>
      <c r="O95" s="23"/>
      <c r="P95" s="25"/>
      <c r="R95" s="23"/>
    </row>
    <row r="96" ht="15.75" customHeight="1">
      <c r="H96" s="22"/>
      <c r="I96" s="23"/>
      <c r="K96" s="26"/>
      <c r="L96" s="26"/>
      <c r="M96" s="26"/>
      <c r="N96" s="26"/>
      <c r="P96" s="25"/>
      <c r="R96" s="23"/>
    </row>
    <row r="97" ht="15.75" customHeight="1">
      <c r="H97" s="22"/>
      <c r="J97" s="23"/>
      <c r="K97" s="24" t="str">
        <f>IF(SUM(I97:J97)=0,"",I97/SUM(I97:J97))</f>
        <v/>
      </c>
      <c r="L97" s="24"/>
      <c r="M97" s="24"/>
      <c r="N97" s="24"/>
      <c r="O97" s="23"/>
      <c r="P97" s="25"/>
      <c r="R97" s="23"/>
    </row>
    <row r="98" ht="15.75" customHeight="1">
      <c r="H98" s="22"/>
      <c r="I98" s="23"/>
      <c r="K98" s="26"/>
      <c r="L98" s="26"/>
      <c r="M98" s="26"/>
      <c r="N98" s="26"/>
      <c r="P98" s="25"/>
      <c r="R98" s="23"/>
    </row>
    <row r="99" ht="15.75" customHeight="1">
      <c r="H99" s="22"/>
      <c r="I99" s="23"/>
      <c r="J99" s="23"/>
      <c r="K99" s="24" t="str">
        <f>IF(SUM(I99:J99)=0,"",I99/SUM(I99:J99))</f>
        <v/>
      </c>
      <c r="L99" s="24"/>
      <c r="M99" s="24"/>
      <c r="N99" s="24"/>
      <c r="O99" s="23"/>
      <c r="P99" s="25"/>
      <c r="R99" s="23"/>
    </row>
    <row r="100" ht="15.75" customHeight="1">
      <c r="H100" s="22"/>
      <c r="K100" s="26"/>
      <c r="L100" s="26"/>
      <c r="M100" s="26"/>
      <c r="N100" s="26"/>
      <c r="P100" s="25"/>
      <c r="R100" s="23"/>
    </row>
    <row r="101" ht="15.75" customHeight="1">
      <c r="H101" s="22"/>
      <c r="I101" s="23"/>
      <c r="J101" s="23"/>
      <c r="K101" s="24" t="str">
        <f>IF(SUM(I101:J101)=0,"",I101/SUM(I101:J101))</f>
        <v/>
      </c>
      <c r="L101" s="24"/>
      <c r="M101" s="24"/>
      <c r="N101" s="24"/>
      <c r="O101" s="23"/>
      <c r="P101" s="25"/>
      <c r="R101" s="23"/>
    </row>
    <row r="102" ht="15.75" customHeight="1">
      <c r="H102" s="22"/>
      <c r="I102" s="23"/>
      <c r="K102" s="26"/>
      <c r="L102" s="26"/>
      <c r="M102" s="26"/>
      <c r="N102" s="26"/>
      <c r="P102" s="25"/>
      <c r="R102" s="23"/>
    </row>
    <row r="103" ht="15.75" customHeight="1">
      <c r="H103" s="22"/>
      <c r="J103" s="23"/>
      <c r="K103" s="24" t="str">
        <f>IF(SUM(I103:J103)=0,"",I103/SUM(I103:J103))</f>
        <v/>
      </c>
      <c r="L103" s="24"/>
      <c r="M103" s="24"/>
      <c r="N103" s="24"/>
      <c r="O103" s="23"/>
      <c r="P103" s="25"/>
      <c r="R103" s="23"/>
    </row>
    <row r="104" ht="15.75" customHeight="1">
      <c r="H104" s="22"/>
      <c r="I104" s="23"/>
      <c r="K104" s="26"/>
      <c r="L104" s="26"/>
      <c r="M104" s="26"/>
      <c r="N104" s="26"/>
      <c r="P104" s="25"/>
      <c r="R104" s="23"/>
    </row>
    <row r="105" ht="15.75" customHeight="1">
      <c r="H105" s="22"/>
      <c r="I105" s="23"/>
      <c r="J105" s="23"/>
      <c r="K105" s="24" t="str">
        <f>IF(SUM(I105:J105)=0,"",I105/SUM(I105:J105))</f>
        <v/>
      </c>
      <c r="L105" s="24"/>
      <c r="M105" s="24"/>
      <c r="N105" s="24"/>
      <c r="O105" s="23"/>
      <c r="P105" s="25"/>
      <c r="R105" s="23"/>
    </row>
    <row r="106" ht="15.75" customHeight="1">
      <c r="H106" s="22"/>
      <c r="K106" s="26"/>
      <c r="L106" s="26"/>
      <c r="M106" s="26"/>
      <c r="N106" s="26"/>
      <c r="P106" s="25"/>
      <c r="R106" s="23"/>
    </row>
    <row r="107" ht="15.75" customHeight="1">
      <c r="H107" s="22"/>
      <c r="I107" s="23"/>
      <c r="J107" s="23"/>
      <c r="K107" s="24" t="str">
        <f>IF(SUM(I107:J107)=0,"",I107/SUM(I107:J107))</f>
        <v/>
      </c>
      <c r="L107" s="24"/>
      <c r="M107" s="24"/>
      <c r="N107" s="24"/>
      <c r="O107" s="23"/>
      <c r="P107" s="25"/>
      <c r="R107" s="23"/>
    </row>
    <row r="108" ht="15.75" customHeight="1">
      <c r="H108" s="22"/>
      <c r="I108" s="23"/>
      <c r="K108" s="26"/>
      <c r="L108" s="26"/>
      <c r="M108" s="26"/>
      <c r="N108" s="26"/>
      <c r="P108" s="25"/>
      <c r="R108" s="23"/>
    </row>
    <row r="109" ht="15.75" customHeight="1">
      <c r="H109" s="22"/>
      <c r="J109" s="23"/>
      <c r="K109" s="24" t="str">
        <f>IF(SUM(I109:J109)=0,"",I109/SUM(I109:J109))</f>
        <v/>
      </c>
      <c r="L109" s="24"/>
      <c r="M109" s="24"/>
      <c r="N109" s="24"/>
      <c r="O109" s="23"/>
      <c r="P109" s="25"/>
      <c r="R109" s="23"/>
    </row>
    <row r="110" ht="15.75" customHeight="1">
      <c r="H110" s="22"/>
      <c r="I110" s="23"/>
      <c r="K110" s="26"/>
      <c r="L110" s="26"/>
      <c r="M110" s="26"/>
      <c r="N110" s="26"/>
      <c r="P110" s="25"/>
      <c r="R110" s="23"/>
    </row>
    <row r="111" ht="15.75" customHeight="1">
      <c r="H111" s="22"/>
      <c r="I111" s="23"/>
      <c r="J111" s="23"/>
      <c r="K111" s="24" t="str">
        <f>IF(SUM(I111:J111)=0,"",I111/SUM(I111:J111))</f>
        <v/>
      </c>
      <c r="L111" s="24"/>
      <c r="M111" s="24"/>
      <c r="N111" s="24"/>
      <c r="O111" s="23"/>
      <c r="P111" s="25"/>
      <c r="R111" s="23"/>
    </row>
    <row r="112" ht="15.75" customHeight="1">
      <c r="H112" s="22"/>
      <c r="K112" s="26"/>
      <c r="L112" s="26"/>
      <c r="M112" s="26"/>
      <c r="N112" s="26"/>
      <c r="P112" s="25"/>
      <c r="R112" s="23"/>
    </row>
    <row r="113" ht="15.75" customHeight="1">
      <c r="H113" s="22"/>
      <c r="I113" s="23"/>
      <c r="J113" s="23"/>
      <c r="K113" s="24" t="str">
        <f>IF(SUM(I113:J113)=0,"",I113/SUM(I113:J113))</f>
        <v/>
      </c>
      <c r="L113" s="24"/>
      <c r="M113" s="24"/>
      <c r="N113" s="24"/>
      <c r="O113" s="23"/>
      <c r="P113" s="25"/>
      <c r="R113" s="23"/>
    </row>
    <row r="114" ht="15.75" customHeight="1">
      <c r="H114" s="22"/>
      <c r="I114" s="23"/>
      <c r="K114" s="26"/>
      <c r="L114" s="26"/>
      <c r="M114" s="26"/>
      <c r="N114" s="26"/>
      <c r="P114" s="25"/>
      <c r="R114" s="23"/>
    </row>
    <row r="115" ht="15.75" customHeight="1">
      <c r="H115" s="22"/>
      <c r="J115" s="23"/>
      <c r="K115" s="24" t="str">
        <f>IF(SUM(I115:J115)=0,"",I115/SUM(I115:J115))</f>
        <v/>
      </c>
      <c r="L115" s="24"/>
      <c r="M115" s="24"/>
      <c r="N115" s="24"/>
      <c r="O115" s="23"/>
      <c r="P115" s="25"/>
      <c r="R115" s="23"/>
    </row>
    <row r="116" ht="15.75" customHeight="1">
      <c r="H116" s="22"/>
      <c r="I116" s="23"/>
      <c r="K116" s="26"/>
      <c r="L116" s="26"/>
      <c r="M116" s="26"/>
      <c r="N116" s="26"/>
      <c r="P116" s="25"/>
      <c r="R116" s="23"/>
    </row>
    <row r="117" ht="15.75" customHeight="1">
      <c r="H117" s="22"/>
      <c r="I117" s="23"/>
      <c r="J117" s="23"/>
      <c r="K117" s="24" t="str">
        <f>IF(SUM(I117:J117)=0,"",I117/SUM(I117:J117))</f>
        <v/>
      </c>
      <c r="L117" s="24"/>
      <c r="M117" s="24"/>
      <c r="N117" s="24"/>
      <c r="O117" s="23"/>
      <c r="P117" s="25"/>
      <c r="R117" s="23"/>
    </row>
    <row r="118" ht="15.75" customHeight="1">
      <c r="H118" s="22"/>
      <c r="K118" s="26"/>
      <c r="L118" s="26"/>
      <c r="M118" s="26"/>
      <c r="N118" s="26"/>
      <c r="P118" s="25"/>
      <c r="R118" s="23"/>
    </row>
    <row r="119" ht="15.75" customHeight="1">
      <c r="H119" s="22"/>
      <c r="I119" s="23"/>
      <c r="J119" s="23"/>
      <c r="K119" s="24" t="str">
        <f>IF(SUM(I119:J119)=0,"",I119/SUM(I119:J119))</f>
        <v/>
      </c>
      <c r="L119" s="24"/>
      <c r="M119" s="24"/>
      <c r="N119" s="24"/>
      <c r="O119" s="23"/>
      <c r="P119" s="25"/>
      <c r="R119" s="23"/>
    </row>
    <row r="120" ht="15.75" customHeight="1">
      <c r="H120" s="22"/>
      <c r="I120" s="23"/>
      <c r="K120" s="26"/>
      <c r="L120" s="26"/>
      <c r="M120" s="26"/>
      <c r="N120" s="26"/>
      <c r="P120" s="25"/>
      <c r="R120" s="23"/>
    </row>
    <row r="121" ht="15.75" customHeight="1">
      <c r="H121" s="22"/>
      <c r="J121" s="23"/>
      <c r="K121" s="24" t="str">
        <f>IF(SUM(I121:J121)=0,"",I121/SUM(I121:J121))</f>
        <v/>
      </c>
      <c r="L121" s="24"/>
      <c r="M121" s="24"/>
      <c r="N121" s="24"/>
      <c r="O121" s="23"/>
      <c r="P121" s="25"/>
      <c r="R121" s="23"/>
    </row>
    <row r="122" ht="15.75" customHeight="1">
      <c r="H122" s="22"/>
      <c r="I122" s="23"/>
      <c r="K122" s="26"/>
      <c r="L122" s="26"/>
      <c r="M122" s="26"/>
      <c r="N122" s="26"/>
      <c r="P122" s="25"/>
      <c r="R122" s="23"/>
    </row>
    <row r="123" ht="15.75" customHeight="1">
      <c r="H123" s="22"/>
      <c r="I123" s="23"/>
      <c r="J123" s="23"/>
      <c r="K123" s="24" t="str">
        <f>IF(SUM(I123:J123)=0,"",I123/SUM(I123:J123))</f>
        <v/>
      </c>
      <c r="L123" s="24"/>
      <c r="M123" s="24"/>
      <c r="N123" s="24"/>
      <c r="O123" s="23"/>
      <c r="P123" s="25"/>
      <c r="R123" s="23"/>
    </row>
    <row r="124" ht="15.75" customHeight="1">
      <c r="H124" s="22"/>
      <c r="K124" s="26"/>
      <c r="L124" s="26"/>
      <c r="M124" s="26"/>
      <c r="N124" s="26"/>
      <c r="P124" s="25"/>
      <c r="R124" s="23"/>
    </row>
    <row r="125" ht="15.75" customHeight="1">
      <c r="H125" s="22"/>
      <c r="I125" s="23"/>
      <c r="J125" s="23"/>
      <c r="K125" s="24" t="str">
        <f>IF(SUM(I125:J125)=0,"",I125/SUM(I125:J125))</f>
        <v/>
      </c>
      <c r="L125" s="24"/>
      <c r="M125" s="24"/>
      <c r="N125" s="24"/>
      <c r="O125" s="23"/>
      <c r="P125" s="25"/>
      <c r="R125" s="23"/>
    </row>
    <row r="126" ht="15.75" customHeight="1">
      <c r="H126" s="22"/>
      <c r="I126" s="23"/>
      <c r="K126" s="26"/>
      <c r="L126" s="26"/>
      <c r="M126" s="26"/>
      <c r="N126" s="26"/>
      <c r="P126" s="25"/>
      <c r="R126" s="23"/>
    </row>
    <row r="127" ht="15.75" customHeight="1">
      <c r="H127" s="22"/>
      <c r="J127" s="23"/>
      <c r="K127" s="24" t="str">
        <f>IF(SUM(I127:J127)=0,"",I127/SUM(I127:J127))</f>
        <v/>
      </c>
      <c r="L127" s="24"/>
      <c r="M127" s="24"/>
      <c r="N127" s="24"/>
      <c r="O127" s="23"/>
      <c r="P127" s="25"/>
      <c r="R127" s="23"/>
    </row>
    <row r="128" ht="15.75" customHeight="1">
      <c r="H128" s="22"/>
      <c r="I128" s="23"/>
      <c r="K128" s="26"/>
      <c r="L128" s="26"/>
      <c r="M128" s="26"/>
      <c r="N128" s="26"/>
      <c r="P128" s="25"/>
      <c r="R128" s="23"/>
    </row>
    <row r="129" ht="15.75" customHeight="1">
      <c r="H129" s="22"/>
      <c r="I129" s="23"/>
      <c r="J129" s="23"/>
      <c r="K129" s="24" t="str">
        <f>IF(SUM(I129:J129)=0,"",I129/SUM(I129:J129))</f>
        <v/>
      </c>
      <c r="L129" s="24"/>
      <c r="M129" s="24"/>
      <c r="N129" s="24"/>
      <c r="O129" s="23"/>
      <c r="P129" s="25"/>
      <c r="R129" s="23"/>
    </row>
    <row r="130" ht="15.75" customHeight="1">
      <c r="H130" s="22"/>
      <c r="K130" s="26"/>
      <c r="L130" s="26"/>
      <c r="M130" s="26"/>
      <c r="N130" s="26"/>
      <c r="P130" s="25"/>
      <c r="R130" s="23"/>
    </row>
    <row r="131" ht="15.75" customHeight="1">
      <c r="H131" s="22"/>
      <c r="I131" s="23"/>
      <c r="J131" s="23"/>
      <c r="K131" s="24" t="str">
        <f>IF(SUM(I131:J131)=0,"",I131/SUM(I131:J131))</f>
        <v/>
      </c>
      <c r="L131" s="24"/>
      <c r="M131" s="24"/>
      <c r="N131" s="24"/>
      <c r="O131" s="23"/>
      <c r="P131" s="25"/>
      <c r="R131" s="23"/>
    </row>
    <row r="132" ht="15.75" customHeight="1">
      <c r="H132" s="22"/>
      <c r="I132" s="23"/>
      <c r="K132" s="26"/>
      <c r="L132" s="26"/>
      <c r="M132" s="26"/>
      <c r="N132" s="26"/>
      <c r="P132" s="25"/>
      <c r="R132" s="23"/>
    </row>
    <row r="133" ht="15.75" customHeight="1">
      <c r="H133" s="22"/>
      <c r="J133" s="23"/>
      <c r="K133" s="24" t="str">
        <f>IF(SUM(I133:J133)=0,"",I133/SUM(I133:J133))</f>
        <v/>
      </c>
      <c r="L133" s="24"/>
      <c r="M133" s="24"/>
      <c r="N133" s="24"/>
      <c r="O133" s="23"/>
      <c r="P133" s="25"/>
      <c r="R133" s="23"/>
    </row>
    <row r="134" ht="15.75" customHeight="1">
      <c r="H134" s="22"/>
      <c r="I134" s="23"/>
      <c r="K134" s="26"/>
      <c r="L134" s="26"/>
      <c r="M134" s="26"/>
      <c r="N134" s="26"/>
      <c r="P134" s="25"/>
      <c r="R134" s="23"/>
    </row>
    <row r="135" ht="15.75" customHeight="1">
      <c r="H135" s="22"/>
      <c r="I135" s="23"/>
      <c r="J135" s="23"/>
      <c r="K135" s="24" t="str">
        <f>IF(SUM(I135:J135)=0,"",I135/SUM(I135:J135))</f>
        <v/>
      </c>
      <c r="L135" s="24"/>
      <c r="M135" s="24"/>
      <c r="N135" s="24"/>
      <c r="O135" s="23"/>
      <c r="P135" s="25"/>
      <c r="R135" s="23"/>
    </row>
    <row r="136" ht="15.75" customHeight="1">
      <c r="H136" s="22"/>
      <c r="K136" s="26"/>
      <c r="L136" s="26"/>
      <c r="M136" s="26"/>
      <c r="N136" s="26"/>
      <c r="P136" s="25"/>
      <c r="R136" s="23"/>
    </row>
    <row r="137" ht="15.75" customHeight="1">
      <c r="H137" s="22"/>
      <c r="I137" s="23"/>
      <c r="J137" s="23"/>
      <c r="K137" s="24" t="str">
        <f>IF(SUM(I137:J137)=0,"",I137/SUM(I137:J137))</f>
        <v/>
      </c>
      <c r="L137" s="24"/>
      <c r="M137" s="24"/>
      <c r="N137" s="24"/>
      <c r="O137" s="23"/>
      <c r="P137" s="25"/>
      <c r="R137" s="23"/>
    </row>
    <row r="138" ht="15.75" customHeight="1">
      <c r="H138" s="22"/>
      <c r="I138" s="23"/>
      <c r="K138" s="26"/>
      <c r="L138" s="26"/>
      <c r="M138" s="26"/>
      <c r="N138" s="26"/>
      <c r="P138" s="25"/>
      <c r="R138" s="23"/>
    </row>
    <row r="139" ht="15.75" customHeight="1">
      <c r="H139" s="22"/>
      <c r="J139" s="23"/>
      <c r="K139" s="24" t="str">
        <f>IF(SUM(I139:J139)=0,"",I139/SUM(I139:J139))</f>
        <v/>
      </c>
      <c r="L139" s="24"/>
      <c r="M139" s="24"/>
      <c r="N139" s="24"/>
      <c r="O139" s="23"/>
      <c r="P139" s="25"/>
      <c r="R139" s="23"/>
    </row>
    <row r="140" ht="15.75" customHeight="1">
      <c r="H140" s="22"/>
      <c r="I140" s="23"/>
      <c r="K140" s="26"/>
      <c r="L140" s="26"/>
      <c r="M140" s="26"/>
      <c r="N140" s="26"/>
      <c r="P140" s="25"/>
      <c r="R140" s="23"/>
    </row>
    <row r="141" ht="15.75" customHeight="1">
      <c r="H141" s="22"/>
      <c r="I141" s="23"/>
      <c r="J141" s="23"/>
      <c r="K141" s="24" t="str">
        <f>IF(SUM(I141:J141)=0,"",I141/SUM(I141:J141))</f>
        <v/>
      </c>
      <c r="L141" s="24"/>
      <c r="M141" s="24"/>
      <c r="N141" s="24"/>
      <c r="O141" s="23"/>
      <c r="P141" s="25"/>
      <c r="R141" s="23"/>
    </row>
    <row r="142" ht="15.75" customHeight="1">
      <c r="H142" s="22"/>
      <c r="K142" s="26"/>
      <c r="L142" s="26"/>
      <c r="M142" s="26"/>
      <c r="N142" s="26"/>
      <c r="P142" s="25"/>
      <c r="R142" s="23"/>
    </row>
    <row r="143" ht="15.75" customHeight="1">
      <c r="H143" s="22"/>
      <c r="I143" s="23"/>
      <c r="J143" s="23"/>
      <c r="K143" s="24" t="str">
        <f>IF(SUM(I143:J143)=0,"",I143/SUM(I143:J143))</f>
        <v/>
      </c>
      <c r="L143" s="24"/>
      <c r="M143" s="24"/>
      <c r="N143" s="24"/>
      <c r="O143" s="23"/>
      <c r="P143" s="25"/>
      <c r="R143" s="23"/>
    </row>
    <row r="144" ht="15.75" customHeight="1">
      <c r="B144" s="28"/>
      <c r="C144" s="28"/>
      <c r="H144" s="22"/>
      <c r="K144" s="26"/>
      <c r="L144" s="26"/>
      <c r="M144" s="26"/>
      <c r="N144" s="26"/>
      <c r="P144" s="25"/>
      <c r="R144" s="23"/>
    </row>
    <row r="145" ht="15.75" customHeight="1">
      <c r="B145" s="28"/>
      <c r="C145" s="28"/>
      <c r="D145" s="23"/>
      <c r="E145" s="23"/>
      <c r="F145" s="23"/>
      <c r="G145" s="23"/>
      <c r="H145" s="29"/>
      <c r="I145" s="23"/>
      <c r="J145" s="23"/>
      <c r="K145" s="24" t="str">
        <f>IF(SUM(I145:J145)=0,"",I145/SUM(I145:J145))</f>
        <v/>
      </c>
      <c r="L145" s="24"/>
      <c r="M145" s="24"/>
      <c r="N145" s="24"/>
      <c r="O145" s="23"/>
      <c r="P145" s="25"/>
      <c r="R145" s="23"/>
    </row>
    <row r="146" ht="15.75" customHeight="1">
      <c r="B146" s="28"/>
      <c r="C146" s="28"/>
      <c r="H146" s="22"/>
      <c r="K146" s="26"/>
      <c r="L146" s="26"/>
      <c r="M146" s="26"/>
      <c r="N146" s="26"/>
      <c r="P146" s="25"/>
      <c r="R146" s="23"/>
    </row>
    <row r="147" ht="15.75" customHeight="1">
      <c r="B147" s="28"/>
      <c r="C147" s="28"/>
      <c r="D147" s="23"/>
      <c r="E147" s="23"/>
      <c r="F147" s="23"/>
      <c r="G147" s="23"/>
      <c r="H147" s="29"/>
      <c r="I147" s="23"/>
      <c r="J147" s="23"/>
      <c r="K147" s="24" t="str">
        <f>IF(SUM(I147:J147)=0,"",I147/SUM(I147:J147))</f>
        <v/>
      </c>
      <c r="L147" s="24"/>
      <c r="M147" s="24"/>
      <c r="N147" s="24"/>
      <c r="O147" s="23"/>
      <c r="P147" s="25"/>
      <c r="Q147" s="23"/>
      <c r="R147" s="23"/>
    </row>
    <row r="148" ht="15.75" customHeight="1">
      <c r="B148" s="28"/>
      <c r="C148" s="28"/>
      <c r="H148" s="22"/>
      <c r="K148" s="26"/>
      <c r="L148" s="26"/>
      <c r="M148" s="26"/>
      <c r="N148" s="26"/>
      <c r="P148" s="27"/>
      <c r="Q148" s="28"/>
    </row>
    <row r="149" ht="15.75" customHeight="1">
      <c r="B149" s="28"/>
      <c r="C149" s="28"/>
      <c r="D149" s="23"/>
      <c r="E149" s="23"/>
      <c r="F149" s="23"/>
      <c r="G149" s="23"/>
      <c r="H149" s="29"/>
      <c r="I149" s="23"/>
      <c r="J149" s="23"/>
      <c r="K149" s="24" t="str">
        <f>IF(SUM(I149:J149)=0,"",I149/SUM(I149:J149))</f>
        <v/>
      </c>
      <c r="L149" s="24"/>
      <c r="M149" s="24"/>
      <c r="N149" s="24"/>
      <c r="O149" s="23"/>
      <c r="P149" s="25"/>
      <c r="Q149" s="23"/>
      <c r="R149" s="23"/>
    </row>
    <row r="150" ht="15.75" customHeight="1">
      <c r="B150" s="28"/>
      <c r="C150" s="28"/>
      <c r="H150" s="22"/>
      <c r="K150" s="26"/>
      <c r="L150" s="26"/>
      <c r="M150" s="26"/>
      <c r="N150" s="26"/>
      <c r="P150" s="27"/>
      <c r="Q150" s="28"/>
    </row>
    <row r="151" ht="15.75" customHeight="1">
      <c r="B151" s="28"/>
      <c r="C151" s="28"/>
      <c r="D151" s="23"/>
      <c r="E151" s="23"/>
      <c r="F151" s="23"/>
      <c r="G151" s="23"/>
      <c r="H151" s="29"/>
      <c r="I151" s="23"/>
      <c r="J151" s="23"/>
      <c r="K151" s="24" t="str">
        <f>IF(SUM(I151:J151)=0,"",I151/SUM(I151:J151))</f>
        <v/>
      </c>
      <c r="L151" s="24"/>
      <c r="M151" s="24"/>
      <c r="N151" s="24"/>
      <c r="O151" s="23"/>
      <c r="P151" s="25"/>
      <c r="Q151" s="23"/>
      <c r="R151" s="23"/>
    </row>
    <row r="152" ht="15.75" customHeight="1">
      <c r="B152" s="28"/>
      <c r="C152" s="28"/>
      <c r="H152" s="22"/>
      <c r="K152" s="26"/>
      <c r="L152" s="26"/>
      <c r="M152" s="26"/>
      <c r="N152" s="26"/>
      <c r="P152" s="27"/>
      <c r="Q152" s="28"/>
    </row>
    <row r="153" ht="15.75" customHeight="1">
      <c r="B153" s="28"/>
      <c r="C153" s="28"/>
      <c r="D153" s="23"/>
      <c r="E153" s="23"/>
      <c r="F153" s="23"/>
      <c r="G153" s="23"/>
      <c r="H153" s="29"/>
      <c r="I153" s="23"/>
      <c r="J153" s="23"/>
      <c r="K153" s="24" t="str">
        <f>IF(SUM(I153:J153)=0,"",I153/SUM(I153:J153))</f>
        <v/>
      </c>
      <c r="L153" s="24"/>
      <c r="M153" s="24"/>
      <c r="N153" s="24"/>
      <c r="O153" s="23"/>
      <c r="P153" s="25"/>
      <c r="Q153" s="23"/>
      <c r="R153" s="23"/>
    </row>
    <row r="154" ht="15.75" customHeight="1">
      <c r="B154" s="28"/>
      <c r="C154" s="28"/>
      <c r="H154" s="22"/>
      <c r="K154" s="26"/>
      <c r="L154" s="26"/>
      <c r="M154" s="26"/>
      <c r="N154" s="26"/>
      <c r="P154" s="27"/>
      <c r="Q154" s="28"/>
    </row>
    <row r="155" ht="15.75" customHeight="1">
      <c r="B155" s="28"/>
      <c r="C155" s="28"/>
      <c r="D155" s="23"/>
      <c r="E155" s="23"/>
      <c r="F155" s="23"/>
      <c r="G155" s="23"/>
      <c r="H155" s="29"/>
      <c r="I155" s="23"/>
      <c r="J155" s="23"/>
      <c r="K155" s="24" t="str">
        <f>IF(SUM(I155:J155)=0,"",I155/SUM(I155:J155))</f>
        <v/>
      </c>
      <c r="L155" s="24"/>
      <c r="M155" s="24"/>
      <c r="N155" s="24"/>
      <c r="O155" s="23"/>
      <c r="P155" s="25"/>
      <c r="Q155" s="23"/>
      <c r="R155" s="23"/>
    </row>
    <row r="156" ht="15.75" customHeight="1">
      <c r="B156" s="28"/>
      <c r="C156" s="28"/>
      <c r="H156" s="22"/>
      <c r="K156" s="26"/>
      <c r="L156" s="26"/>
      <c r="M156" s="26"/>
      <c r="N156" s="26"/>
      <c r="P156" s="27"/>
      <c r="Q156" s="28"/>
    </row>
    <row r="157" ht="15.75" customHeight="1">
      <c r="B157" s="28"/>
      <c r="C157" s="28"/>
      <c r="D157" s="23"/>
      <c r="E157" s="23"/>
      <c r="F157" s="23"/>
      <c r="G157" s="23"/>
      <c r="H157" s="29"/>
      <c r="I157" s="23"/>
      <c r="J157" s="23"/>
      <c r="K157" s="24" t="str">
        <f>IF(SUM(I157:J157)=0,"",I157/SUM(I157:J157))</f>
        <v/>
      </c>
      <c r="L157" s="24"/>
      <c r="M157" s="24"/>
      <c r="N157" s="24"/>
      <c r="O157" s="23"/>
      <c r="P157" s="25"/>
      <c r="Q157" s="23"/>
      <c r="R157" s="23"/>
    </row>
    <row r="158" ht="15.75" customHeight="1">
      <c r="B158" s="28"/>
      <c r="C158" s="28"/>
      <c r="H158" s="22"/>
      <c r="K158" s="26"/>
      <c r="L158" s="26"/>
      <c r="M158" s="26"/>
      <c r="N158" s="26"/>
      <c r="P158" s="27"/>
      <c r="Q158" s="28"/>
    </row>
    <row r="159" ht="15.75" customHeight="1">
      <c r="B159" s="28"/>
      <c r="C159" s="28"/>
      <c r="D159" s="23"/>
      <c r="E159" s="23"/>
      <c r="F159" s="23"/>
      <c r="G159" s="23"/>
      <c r="H159" s="29"/>
      <c r="I159" s="23"/>
      <c r="J159" s="23"/>
      <c r="K159" s="24" t="str">
        <f>IF(SUM(I159:J159)=0,"",I159/SUM(I159:J159))</f>
        <v/>
      </c>
      <c r="L159" s="24"/>
      <c r="M159" s="24"/>
      <c r="N159" s="24"/>
      <c r="O159" s="23"/>
      <c r="P159" s="25"/>
      <c r="Q159" s="23"/>
      <c r="R159" s="23"/>
    </row>
    <row r="160" ht="15.75" customHeight="1">
      <c r="B160" s="28"/>
      <c r="C160" s="28"/>
      <c r="H160" s="22"/>
      <c r="K160" s="26"/>
      <c r="L160" s="26"/>
      <c r="M160" s="26"/>
      <c r="N160" s="26"/>
      <c r="P160" s="27"/>
      <c r="Q160" s="28"/>
    </row>
    <row r="161" ht="15.75" customHeight="1">
      <c r="B161" s="28"/>
      <c r="C161" s="28"/>
      <c r="D161" s="23"/>
      <c r="E161" s="23"/>
      <c r="F161" s="23"/>
      <c r="G161" s="23"/>
      <c r="H161" s="29"/>
      <c r="I161" s="23"/>
      <c r="J161" s="23"/>
      <c r="K161" s="24" t="str">
        <f>IF(SUM(I161:J161)=0,"",I161/SUM(I161:J161))</f>
        <v/>
      </c>
      <c r="L161" s="24"/>
      <c r="M161" s="24"/>
      <c r="N161" s="24"/>
      <c r="O161" s="23"/>
      <c r="P161" s="25"/>
      <c r="Q161" s="23"/>
      <c r="R161" s="23"/>
    </row>
    <row r="162" ht="15.75" customHeight="1">
      <c r="B162" s="28"/>
      <c r="C162" s="28"/>
      <c r="H162" s="22"/>
      <c r="K162" s="26"/>
      <c r="L162" s="26"/>
      <c r="M162" s="26"/>
      <c r="N162" s="26"/>
      <c r="P162" s="27"/>
      <c r="Q162" s="28"/>
    </row>
    <row r="163" ht="15.75" customHeight="1">
      <c r="B163" s="28"/>
      <c r="C163" s="28"/>
      <c r="D163" s="23"/>
      <c r="E163" s="23"/>
      <c r="F163" s="23"/>
      <c r="G163" s="23"/>
      <c r="H163" s="29"/>
      <c r="I163" s="23"/>
      <c r="J163" s="23"/>
      <c r="K163" s="24" t="str">
        <f>IF(SUM(I163:J163)=0,"",I163/SUM(I163:J163))</f>
        <v/>
      </c>
      <c r="L163" s="24"/>
      <c r="M163" s="24"/>
      <c r="N163" s="24"/>
      <c r="O163" s="23"/>
      <c r="P163" s="25"/>
      <c r="Q163" s="23"/>
      <c r="R163" s="23"/>
    </row>
    <row r="164" ht="15.75" customHeight="1">
      <c r="B164" s="28"/>
      <c r="C164" s="28"/>
      <c r="H164" s="22"/>
      <c r="K164" s="26"/>
      <c r="L164" s="26"/>
      <c r="M164" s="26"/>
      <c r="N164" s="26"/>
      <c r="P164" s="27"/>
      <c r="Q164" s="28"/>
    </row>
    <row r="165" ht="15.75" customHeight="1">
      <c r="B165" s="28"/>
      <c r="C165" s="28"/>
      <c r="D165" s="23"/>
      <c r="E165" s="23"/>
      <c r="F165" s="23"/>
      <c r="G165" s="23"/>
      <c r="H165" s="29"/>
      <c r="I165" s="23"/>
      <c r="J165" s="23"/>
      <c r="K165" s="24" t="str">
        <f>IF(SUM(I165:J165)=0,"",I165/SUM(I165:J165))</f>
        <v/>
      </c>
      <c r="L165" s="24"/>
      <c r="M165" s="24"/>
      <c r="N165" s="24"/>
      <c r="O165" s="23"/>
      <c r="P165" s="25"/>
      <c r="Q165" s="23"/>
      <c r="R165" s="23"/>
    </row>
    <row r="166" ht="15.75" customHeight="1">
      <c r="B166" s="28"/>
      <c r="C166" s="28"/>
      <c r="H166" s="22"/>
      <c r="K166" s="26"/>
      <c r="L166" s="26"/>
      <c r="M166" s="26"/>
      <c r="N166" s="26"/>
      <c r="P166" s="27"/>
      <c r="Q166" s="28"/>
    </row>
    <row r="167" ht="15.75" customHeight="1">
      <c r="B167" s="28"/>
      <c r="C167" s="28"/>
      <c r="D167" s="23"/>
      <c r="E167" s="23"/>
      <c r="F167" s="23"/>
      <c r="G167" s="23"/>
      <c r="H167" s="29"/>
      <c r="I167" s="23"/>
      <c r="J167" s="23"/>
      <c r="K167" s="24" t="str">
        <f>IF(SUM(I167:J167)=0,"",I167/SUM(I167:J167))</f>
        <v/>
      </c>
      <c r="L167" s="24"/>
      <c r="M167" s="24"/>
      <c r="N167" s="24"/>
      <c r="O167" s="23"/>
      <c r="P167" s="25"/>
      <c r="Q167" s="23"/>
      <c r="R167" s="23"/>
    </row>
    <row r="168" ht="15.75" customHeight="1">
      <c r="B168" s="28"/>
      <c r="C168" s="28"/>
      <c r="H168" s="22"/>
      <c r="K168" s="26"/>
      <c r="L168" s="26"/>
      <c r="M168" s="26"/>
      <c r="N168" s="26"/>
      <c r="P168" s="27"/>
      <c r="Q168" s="28"/>
    </row>
    <row r="169" ht="15.75" customHeight="1">
      <c r="B169" s="28"/>
      <c r="C169" s="28"/>
      <c r="D169" s="23"/>
      <c r="E169" s="23"/>
      <c r="F169" s="23"/>
      <c r="G169" s="23"/>
      <c r="H169" s="29"/>
      <c r="I169" s="23"/>
      <c r="J169" s="23"/>
      <c r="K169" s="24" t="str">
        <f>IF(SUM(I169:J169)=0,"",I169/SUM(I169:J169))</f>
        <v/>
      </c>
      <c r="L169" s="24"/>
      <c r="M169" s="24"/>
      <c r="N169" s="24"/>
      <c r="O169" s="23"/>
      <c r="P169" s="25"/>
      <c r="Q169" s="23"/>
      <c r="R169" s="23"/>
    </row>
    <row r="170" ht="15.75" customHeight="1">
      <c r="B170" s="28"/>
      <c r="C170" s="28"/>
      <c r="H170" s="22"/>
      <c r="K170" s="26"/>
      <c r="L170" s="26"/>
      <c r="M170" s="26"/>
      <c r="N170" s="26"/>
      <c r="P170" s="27"/>
      <c r="Q170" s="28"/>
    </row>
    <row r="171" ht="15.75" customHeight="1">
      <c r="B171" s="28"/>
      <c r="C171" s="28"/>
      <c r="D171" s="23"/>
      <c r="E171" s="23"/>
      <c r="F171" s="23"/>
      <c r="G171" s="23"/>
      <c r="H171" s="29"/>
      <c r="I171" s="23"/>
      <c r="J171" s="23"/>
      <c r="K171" s="24" t="str">
        <f>IF(SUM(I171:J171)=0,"",I171/SUM(I171:J171))</f>
        <v/>
      </c>
      <c r="L171" s="24"/>
      <c r="M171" s="24"/>
      <c r="N171" s="24"/>
      <c r="O171" s="23"/>
      <c r="P171" s="25"/>
      <c r="Q171" s="23"/>
      <c r="R171" s="23"/>
    </row>
    <row r="172" ht="15.75" customHeight="1">
      <c r="B172" s="28"/>
      <c r="C172" s="28"/>
      <c r="H172" s="22"/>
      <c r="K172" s="26"/>
      <c r="L172" s="26"/>
      <c r="M172" s="26"/>
      <c r="N172" s="26"/>
      <c r="P172" s="27"/>
      <c r="Q172" s="28"/>
    </row>
    <row r="173" ht="15.75" customHeight="1">
      <c r="B173" s="28"/>
      <c r="C173" s="28"/>
      <c r="D173" s="23"/>
      <c r="E173" s="23"/>
      <c r="F173" s="23"/>
      <c r="G173" s="23"/>
      <c r="H173" s="29"/>
      <c r="I173" s="23"/>
      <c r="J173" s="23"/>
      <c r="K173" s="24" t="str">
        <f>IF(SUM(I173:J173)=0,"",I173/SUM(I173:J173))</f>
        <v/>
      </c>
      <c r="L173" s="24"/>
      <c r="M173" s="24"/>
      <c r="N173" s="24"/>
      <c r="O173" s="23"/>
      <c r="P173" s="25"/>
      <c r="Q173" s="23"/>
      <c r="R173" s="23"/>
    </row>
    <row r="174" ht="15.75" customHeight="1">
      <c r="B174" s="28"/>
      <c r="C174" s="28"/>
      <c r="H174" s="22"/>
      <c r="K174" s="26"/>
      <c r="L174" s="26"/>
      <c r="M174" s="26"/>
      <c r="N174" s="26"/>
      <c r="P174" s="27"/>
      <c r="Q174" s="28"/>
    </row>
    <row r="175" ht="15.75" customHeight="1">
      <c r="B175" s="28"/>
      <c r="C175" s="28"/>
      <c r="D175" s="23"/>
      <c r="E175" s="23"/>
      <c r="F175" s="23"/>
      <c r="G175" s="23"/>
      <c r="H175" s="29"/>
      <c r="I175" s="23"/>
      <c r="J175" s="23"/>
      <c r="K175" s="24" t="str">
        <f>IF(SUM(I175:J175)=0,"",I175/SUM(I175:J175))</f>
        <v/>
      </c>
      <c r="L175" s="24"/>
      <c r="M175" s="24"/>
      <c r="N175" s="24"/>
      <c r="O175" s="23"/>
      <c r="P175" s="25"/>
      <c r="Q175" s="23"/>
      <c r="R175" s="23"/>
    </row>
    <row r="176" ht="15.75" customHeight="1">
      <c r="B176" s="28"/>
      <c r="C176" s="28"/>
      <c r="H176" s="22"/>
      <c r="K176" s="26"/>
      <c r="L176" s="26"/>
      <c r="M176" s="26"/>
      <c r="N176" s="26"/>
      <c r="P176" s="27"/>
      <c r="Q176" s="28"/>
    </row>
    <row r="177" ht="15.75" customHeight="1">
      <c r="B177" s="28"/>
      <c r="C177" s="28"/>
      <c r="D177" s="23"/>
      <c r="E177" s="23"/>
      <c r="F177" s="23"/>
      <c r="G177" s="23"/>
      <c r="H177" s="29"/>
      <c r="I177" s="23"/>
      <c r="J177" s="23"/>
      <c r="K177" s="24" t="str">
        <f>IF(SUM(I177:J177)=0,"",I177/SUM(I177:J177))</f>
        <v/>
      </c>
      <c r="L177" s="24"/>
      <c r="M177" s="24"/>
      <c r="N177" s="24"/>
      <c r="O177" s="23"/>
      <c r="P177" s="25"/>
      <c r="Q177" s="23"/>
      <c r="R177" s="23"/>
    </row>
    <row r="178" ht="15.75" customHeight="1">
      <c r="B178" s="28"/>
      <c r="C178" s="28"/>
      <c r="H178" s="22"/>
      <c r="K178" s="26"/>
      <c r="L178" s="26"/>
      <c r="M178" s="26"/>
      <c r="N178" s="26"/>
      <c r="P178" s="27"/>
      <c r="Q178" s="28"/>
    </row>
    <row r="179" ht="15.75" customHeight="1">
      <c r="B179" s="28"/>
      <c r="C179" s="28"/>
      <c r="D179" s="23"/>
      <c r="E179" s="23"/>
      <c r="F179" s="23"/>
      <c r="G179" s="23"/>
      <c r="H179" s="29"/>
      <c r="I179" s="23"/>
      <c r="J179" s="23"/>
      <c r="K179" s="24" t="str">
        <f>IF(SUM(I179:J179)=0,"",I179/SUM(I179:J179))</f>
        <v/>
      </c>
      <c r="L179" s="24"/>
      <c r="M179" s="24"/>
      <c r="N179" s="24"/>
      <c r="O179" s="23"/>
      <c r="P179" s="25"/>
      <c r="Q179" s="23"/>
      <c r="R179" s="23"/>
    </row>
    <row r="180" ht="15.75" customHeight="1">
      <c r="B180" s="28"/>
      <c r="C180" s="28"/>
      <c r="H180" s="22"/>
      <c r="K180" s="26"/>
      <c r="L180" s="26"/>
      <c r="M180" s="26"/>
      <c r="N180" s="26"/>
      <c r="P180" s="27"/>
      <c r="Q180" s="28"/>
    </row>
    <row r="181" ht="15.75" customHeight="1">
      <c r="B181" s="28"/>
      <c r="C181" s="28"/>
      <c r="D181" s="23"/>
      <c r="E181" s="23"/>
      <c r="F181" s="23"/>
      <c r="G181" s="23"/>
      <c r="H181" s="29"/>
      <c r="I181" s="23"/>
      <c r="J181" s="23"/>
      <c r="K181" s="24" t="str">
        <f>IF(SUM(I181:J181)=0,"",I181/SUM(I181:J181))</f>
        <v/>
      </c>
      <c r="L181" s="24"/>
      <c r="M181" s="24"/>
      <c r="N181" s="24"/>
      <c r="O181" s="23"/>
      <c r="P181" s="25"/>
      <c r="Q181" s="23"/>
      <c r="R181" s="23"/>
    </row>
    <row r="182" ht="15.75" customHeight="1">
      <c r="B182" s="28"/>
      <c r="C182" s="28"/>
      <c r="H182" s="22"/>
      <c r="K182" s="26"/>
      <c r="L182" s="26"/>
      <c r="M182" s="26"/>
      <c r="N182" s="26"/>
      <c r="P182" s="27"/>
      <c r="Q182" s="28"/>
    </row>
    <row r="183" ht="15.75" customHeight="1">
      <c r="D183" s="23"/>
      <c r="E183" s="23"/>
      <c r="F183" s="23"/>
      <c r="G183" s="23"/>
      <c r="H183" s="29"/>
      <c r="I183" s="23"/>
      <c r="J183" s="23"/>
      <c r="K183" s="24" t="str">
        <f>IF(SUM(I183:J183)=0,"",I183/SUM(I183:J183))</f>
        <v/>
      </c>
      <c r="L183" s="24"/>
      <c r="M183" s="24"/>
      <c r="N183" s="24"/>
      <c r="O183" s="23"/>
      <c r="P183" s="25"/>
      <c r="Q183" s="23"/>
      <c r="R183" s="23"/>
    </row>
    <row r="184" ht="15.75" customHeight="1">
      <c r="H184" s="22"/>
      <c r="K184" s="26"/>
      <c r="L184" s="26"/>
      <c r="M184" s="26"/>
      <c r="N184" s="26"/>
      <c r="P184" s="27"/>
      <c r="Q184" s="28"/>
    </row>
    <row r="185" ht="15.75" customHeight="1">
      <c r="D185" s="23"/>
      <c r="E185" s="23"/>
      <c r="F185" s="23"/>
      <c r="G185" s="23"/>
      <c r="H185" s="29"/>
      <c r="I185" s="23"/>
      <c r="J185" s="23"/>
      <c r="K185" s="24" t="str">
        <f>IF(SUM(I185:J185)=0,"",I185/SUM(I185:J185))</f>
        <v/>
      </c>
      <c r="L185" s="24"/>
      <c r="M185" s="24"/>
      <c r="N185" s="24"/>
      <c r="O185" s="23"/>
      <c r="P185" s="25"/>
      <c r="Q185" s="23"/>
      <c r="R185" s="23"/>
    </row>
    <row r="186" ht="15.75" customHeight="1">
      <c r="H186" s="22"/>
      <c r="K186" s="26"/>
      <c r="L186" s="26"/>
      <c r="M186" s="26"/>
      <c r="N186" s="26"/>
      <c r="P186" s="27"/>
      <c r="Q186" s="28"/>
    </row>
    <row r="187" ht="15.75" customHeight="1">
      <c r="D187" s="23"/>
      <c r="E187" s="23"/>
      <c r="F187" s="23"/>
      <c r="G187" s="23"/>
      <c r="H187" s="29"/>
      <c r="I187" s="23"/>
      <c r="J187" s="23"/>
      <c r="K187" s="24" t="str">
        <f>IF(SUM(I187:J187)=0,"",I187/SUM(I187:J187))</f>
        <v/>
      </c>
      <c r="L187" s="24"/>
      <c r="M187" s="24"/>
      <c r="N187" s="24"/>
      <c r="O187" s="23"/>
      <c r="P187" s="25"/>
      <c r="Q187" s="23"/>
      <c r="R187" s="23"/>
    </row>
    <row r="188" ht="15.75" customHeight="1">
      <c r="H188" s="22"/>
      <c r="K188" s="26"/>
      <c r="L188" s="26"/>
      <c r="M188" s="26"/>
      <c r="N188" s="26"/>
      <c r="P188" s="27"/>
      <c r="Q188" s="28"/>
    </row>
    <row r="189" ht="15.75" customHeight="1">
      <c r="D189" s="23"/>
      <c r="E189" s="23"/>
      <c r="F189" s="23"/>
      <c r="G189" s="23"/>
      <c r="H189" s="29"/>
      <c r="I189" s="23"/>
      <c r="J189" s="23"/>
      <c r="K189" s="24" t="str">
        <f>IF(SUM(I189:J189)=0,"",I189/SUM(I189:J189))</f>
        <v/>
      </c>
      <c r="L189" s="24"/>
      <c r="M189" s="24"/>
      <c r="N189" s="24"/>
      <c r="O189" s="23"/>
      <c r="P189" s="25"/>
      <c r="Q189" s="23"/>
      <c r="R189" s="23"/>
    </row>
    <row r="190" ht="15.75" customHeight="1">
      <c r="H190" s="22"/>
      <c r="K190" s="26"/>
      <c r="L190" s="26"/>
      <c r="M190" s="26"/>
      <c r="N190" s="26"/>
      <c r="P190" s="27"/>
      <c r="Q190" s="28"/>
    </row>
    <row r="191" ht="15.75" customHeight="1">
      <c r="D191" s="23"/>
      <c r="E191" s="23"/>
      <c r="F191" s="23"/>
      <c r="G191" s="23"/>
      <c r="H191" s="29"/>
      <c r="I191" s="23"/>
      <c r="J191" s="23"/>
      <c r="K191" s="24" t="str">
        <f>IF(SUM(I191:J191)=0,"",I191/SUM(I191:J191))</f>
        <v/>
      </c>
      <c r="L191" s="24"/>
      <c r="M191" s="24"/>
      <c r="N191" s="24"/>
      <c r="O191" s="23"/>
      <c r="P191" s="25"/>
      <c r="Q191" s="23"/>
      <c r="R191" s="23"/>
    </row>
    <row r="192" ht="15.75" customHeight="1">
      <c r="H192" s="22"/>
      <c r="K192" s="26"/>
      <c r="L192" s="26"/>
      <c r="M192" s="26"/>
      <c r="N192" s="26"/>
      <c r="P192" s="27"/>
      <c r="Q192" s="28"/>
    </row>
    <row r="193" ht="15.75" customHeight="1">
      <c r="D193" s="23"/>
      <c r="E193" s="23"/>
      <c r="F193" s="23"/>
      <c r="G193" s="23"/>
      <c r="H193" s="29"/>
      <c r="I193" s="23"/>
      <c r="J193" s="23"/>
      <c r="K193" s="24" t="str">
        <f>IF(SUM(I193:J193)=0,"",I193/SUM(I193:J193))</f>
        <v/>
      </c>
      <c r="L193" s="24"/>
      <c r="M193" s="24"/>
      <c r="N193" s="24"/>
      <c r="O193" s="23"/>
      <c r="P193" s="25"/>
      <c r="Q193" s="23"/>
      <c r="R193" s="23"/>
    </row>
    <row r="194" ht="15.75" customHeight="1">
      <c r="H194" s="22"/>
      <c r="K194" s="26"/>
      <c r="L194" s="26"/>
      <c r="M194" s="26"/>
      <c r="N194" s="26"/>
      <c r="P194" s="27"/>
      <c r="Q194" s="28"/>
    </row>
    <row r="195" ht="15.75" customHeight="1">
      <c r="D195" s="23"/>
      <c r="E195" s="23"/>
      <c r="F195" s="23"/>
      <c r="G195" s="23"/>
      <c r="H195" s="29"/>
      <c r="I195" s="23"/>
      <c r="J195" s="23"/>
      <c r="K195" s="24" t="str">
        <f>IF(SUM(I195:J195)=0,"",I195/SUM(I195:J195))</f>
        <v/>
      </c>
      <c r="L195" s="24"/>
      <c r="M195" s="24"/>
      <c r="N195" s="24"/>
      <c r="O195" s="23"/>
      <c r="P195" s="25"/>
      <c r="Q195" s="23"/>
      <c r="R195" s="23"/>
    </row>
    <row r="196" ht="15.75" customHeight="1">
      <c r="H196" s="22"/>
      <c r="K196" s="26"/>
      <c r="L196" s="26"/>
      <c r="M196" s="26"/>
      <c r="N196" s="26"/>
      <c r="P196" s="27"/>
      <c r="Q196" s="28"/>
    </row>
    <row r="197" ht="15.75" customHeight="1">
      <c r="D197" s="23"/>
      <c r="E197" s="23"/>
      <c r="F197" s="23"/>
      <c r="G197" s="23"/>
      <c r="H197" s="29"/>
      <c r="I197" s="23"/>
      <c r="J197" s="23"/>
      <c r="K197" s="24" t="str">
        <f>IF(SUM(I197:J197)=0,"",I197/SUM(I197:J197))</f>
        <v/>
      </c>
      <c r="L197" s="24"/>
      <c r="M197" s="24"/>
      <c r="N197" s="24"/>
      <c r="O197" s="23"/>
      <c r="P197" s="25"/>
      <c r="Q197" s="23"/>
      <c r="R197" s="23"/>
    </row>
    <row r="198" ht="15.75" customHeight="1">
      <c r="H198" s="22"/>
      <c r="K198" s="26"/>
      <c r="L198" s="26"/>
      <c r="M198" s="26"/>
      <c r="N198" s="26"/>
      <c r="P198" s="27"/>
      <c r="Q198" s="28"/>
    </row>
    <row r="199" ht="15.75" customHeight="1">
      <c r="D199" s="23"/>
      <c r="E199" s="23"/>
      <c r="F199" s="23"/>
      <c r="G199" s="23"/>
      <c r="H199" s="29"/>
      <c r="I199" s="23"/>
      <c r="J199" s="23"/>
      <c r="K199" s="24" t="str">
        <f>IF(SUM(I199:J199)=0,"",I199/SUM(I199:J199))</f>
        <v/>
      </c>
      <c r="L199" s="24"/>
      <c r="M199" s="24"/>
      <c r="N199" s="24"/>
      <c r="O199" s="23"/>
      <c r="P199" s="25"/>
      <c r="Q199" s="23"/>
      <c r="R199" s="23"/>
    </row>
    <row r="200" ht="15.75" customHeight="1">
      <c r="H200" s="22"/>
      <c r="K200" s="26"/>
      <c r="L200" s="26"/>
      <c r="M200" s="26"/>
      <c r="N200" s="26"/>
      <c r="P200" s="27"/>
      <c r="Q200" s="28"/>
    </row>
    <row r="201" ht="15.75" customHeight="1">
      <c r="D201" s="23"/>
      <c r="E201" s="23"/>
      <c r="F201" s="23"/>
      <c r="G201" s="23"/>
      <c r="H201" s="29"/>
      <c r="I201" s="23"/>
      <c r="J201" s="23"/>
      <c r="K201" s="24" t="str">
        <f>IF(SUM(I201:J201)=0,"",I201/SUM(I201:J201))</f>
        <v/>
      </c>
      <c r="L201" s="24"/>
      <c r="M201" s="24"/>
      <c r="N201" s="24"/>
      <c r="O201" s="23"/>
      <c r="P201" s="25"/>
      <c r="Q201" s="23"/>
      <c r="R201" s="23"/>
    </row>
    <row r="202" ht="15.75" customHeight="1">
      <c r="H202" s="22"/>
      <c r="K202" s="26"/>
      <c r="L202" s="26"/>
      <c r="M202" s="26"/>
      <c r="N202" s="26"/>
      <c r="P202" s="27"/>
      <c r="Q202" s="28"/>
    </row>
    <row r="203" ht="15.75" customHeight="1">
      <c r="D203" s="23"/>
      <c r="E203" s="23"/>
      <c r="F203" s="23"/>
      <c r="G203" s="23"/>
      <c r="H203" s="29"/>
      <c r="I203" s="23"/>
      <c r="J203" s="23"/>
      <c r="K203" s="24" t="str">
        <f>IF(SUM(I203:J203)=0,"",I203/SUM(I203:J203))</f>
        <v/>
      </c>
      <c r="L203" s="24"/>
      <c r="M203" s="24"/>
      <c r="N203" s="24"/>
      <c r="O203" s="23"/>
      <c r="P203" s="25"/>
      <c r="Q203" s="23"/>
      <c r="R203" s="23"/>
    </row>
    <row r="204" ht="15.75" customHeight="1">
      <c r="H204" s="22"/>
      <c r="K204" s="26"/>
      <c r="L204" s="26"/>
      <c r="M204" s="26"/>
      <c r="N204" s="26"/>
      <c r="P204" s="27"/>
      <c r="Q204" s="28"/>
    </row>
    <row r="205" ht="15.75" customHeight="1">
      <c r="D205" s="23"/>
      <c r="E205" s="23"/>
      <c r="F205" s="23"/>
      <c r="G205" s="23"/>
      <c r="H205" s="29"/>
      <c r="I205" s="23"/>
      <c r="J205" s="23"/>
      <c r="K205" s="24" t="str">
        <f>IF(SUM(I205:J205)=0,"",I205/SUM(I205:J205))</f>
        <v/>
      </c>
      <c r="L205" s="24"/>
      <c r="M205" s="24"/>
      <c r="N205" s="24"/>
      <c r="O205" s="23"/>
      <c r="P205" s="25"/>
      <c r="Q205" s="23"/>
      <c r="R205" s="23"/>
    </row>
    <row r="206" ht="15.75" customHeight="1">
      <c r="H206" s="22"/>
      <c r="K206" s="26"/>
      <c r="L206" s="26"/>
      <c r="M206" s="26"/>
      <c r="N206" s="26"/>
      <c r="P206" s="27"/>
      <c r="Q206" s="28"/>
    </row>
    <row r="207" ht="15.75" customHeight="1">
      <c r="D207" s="23"/>
      <c r="E207" s="23"/>
      <c r="F207" s="23"/>
      <c r="G207" s="23"/>
      <c r="H207" s="29"/>
      <c r="I207" s="23"/>
      <c r="J207" s="23"/>
      <c r="K207" s="24" t="str">
        <f>IF(SUM(I207:J207)=0,"",I207/SUM(I207:J207))</f>
        <v/>
      </c>
      <c r="L207" s="24"/>
      <c r="M207" s="24"/>
      <c r="N207" s="24"/>
      <c r="O207" s="23"/>
      <c r="P207" s="25"/>
      <c r="Q207" s="23"/>
      <c r="R207" s="23"/>
    </row>
    <row r="208" ht="15.75" customHeight="1">
      <c r="H208" s="22"/>
      <c r="K208" s="26"/>
      <c r="L208" s="26"/>
      <c r="M208" s="26"/>
      <c r="N208" s="26"/>
      <c r="P208" s="27"/>
      <c r="Q208" s="28"/>
    </row>
    <row r="209" ht="15.75" customHeight="1">
      <c r="D209" s="23"/>
      <c r="E209" s="23"/>
      <c r="F209" s="23"/>
      <c r="G209" s="23"/>
      <c r="H209" s="29"/>
      <c r="I209" s="23"/>
      <c r="J209" s="23"/>
      <c r="K209" s="24" t="str">
        <f>IF(SUM(I209:J209)=0,"",I209/SUM(I209:J209))</f>
        <v/>
      </c>
      <c r="L209" s="24"/>
      <c r="M209" s="24"/>
      <c r="N209" s="24"/>
      <c r="O209" s="23"/>
      <c r="P209" s="25"/>
      <c r="Q209" s="23"/>
      <c r="R209" s="23"/>
    </row>
    <row r="210" ht="15.75" customHeight="1">
      <c r="H210" s="22"/>
      <c r="K210" s="26"/>
      <c r="L210" s="26"/>
      <c r="M210" s="26"/>
      <c r="N210" s="26"/>
      <c r="P210" s="27"/>
      <c r="Q210" s="28"/>
    </row>
    <row r="211" ht="15.75" customHeight="1">
      <c r="D211" s="23"/>
      <c r="E211" s="23"/>
      <c r="F211" s="23"/>
      <c r="G211" s="23"/>
      <c r="H211" s="29"/>
      <c r="I211" s="23"/>
      <c r="J211" s="23"/>
      <c r="K211" s="24" t="str">
        <f>IF(SUM(I211:J211)=0,"",I211/SUM(I211:J211))</f>
        <v/>
      </c>
      <c r="L211" s="24"/>
      <c r="M211" s="24"/>
      <c r="N211" s="24"/>
      <c r="O211" s="23"/>
      <c r="P211" s="25"/>
      <c r="Q211" s="23"/>
      <c r="R211" s="23"/>
    </row>
    <row r="212" ht="15.75" customHeight="1">
      <c r="H212" s="22"/>
      <c r="K212" s="26"/>
      <c r="L212" s="26"/>
      <c r="M212" s="26"/>
      <c r="N212" s="26"/>
      <c r="P212" s="27"/>
      <c r="Q212" s="28"/>
    </row>
    <row r="213" ht="15.75" customHeight="1">
      <c r="D213" s="23"/>
      <c r="E213" s="23"/>
      <c r="F213" s="23"/>
      <c r="G213" s="23"/>
      <c r="H213" s="29"/>
      <c r="I213" s="23"/>
      <c r="J213" s="23"/>
      <c r="K213" s="24" t="str">
        <f>IF(SUM(I213:J213)=0,"",I213/SUM(I213:J213))</f>
        <v/>
      </c>
      <c r="L213" s="24"/>
      <c r="M213" s="24"/>
      <c r="N213" s="24"/>
      <c r="O213" s="23"/>
      <c r="P213" s="25"/>
      <c r="Q213" s="23"/>
      <c r="R213" s="23"/>
    </row>
    <row r="214" ht="15.75" customHeight="1">
      <c r="H214" s="22"/>
      <c r="K214" s="26"/>
      <c r="L214" s="26"/>
      <c r="M214" s="26"/>
      <c r="N214" s="26"/>
      <c r="P214" s="27"/>
      <c r="Q214" s="28"/>
    </row>
    <row r="215" ht="15.75" customHeight="1">
      <c r="D215" s="23"/>
      <c r="E215" s="23"/>
      <c r="F215" s="23"/>
      <c r="G215" s="23"/>
      <c r="H215" s="29"/>
      <c r="I215" s="23"/>
      <c r="J215" s="23"/>
      <c r="K215" s="24" t="str">
        <f>IF(SUM(I215:J215)=0,"",I215/SUM(I215:J215))</f>
        <v/>
      </c>
      <c r="L215" s="24"/>
      <c r="M215" s="24"/>
      <c r="N215" s="24"/>
      <c r="O215" s="23"/>
      <c r="P215" s="25"/>
      <c r="Q215" s="23"/>
      <c r="R215" s="23"/>
    </row>
    <row r="216" ht="15.75" customHeight="1">
      <c r="H216" s="22"/>
      <c r="K216" s="26"/>
      <c r="L216" s="26"/>
      <c r="M216" s="26"/>
      <c r="N216" s="26"/>
      <c r="P216" s="27"/>
      <c r="Q216" s="28"/>
    </row>
    <row r="217" ht="15.75" customHeight="1">
      <c r="D217" s="23"/>
      <c r="E217" s="23"/>
      <c r="F217" s="23"/>
      <c r="G217" s="23"/>
      <c r="H217" s="29"/>
      <c r="I217" s="23"/>
      <c r="J217" s="23"/>
      <c r="K217" s="24" t="str">
        <f>IF(SUM(I217:J217)=0,"",I217/SUM(I217:J217))</f>
        <v/>
      </c>
      <c r="L217" s="24"/>
      <c r="M217" s="24"/>
      <c r="N217" s="24"/>
      <c r="O217" s="23"/>
      <c r="P217" s="25"/>
      <c r="Q217" s="23"/>
      <c r="R217" s="23"/>
    </row>
    <row r="218" ht="15.75" customHeight="1">
      <c r="H218" s="22"/>
      <c r="K218" s="26"/>
      <c r="L218" s="26"/>
      <c r="M218" s="26"/>
      <c r="N218" s="26"/>
      <c r="P218" s="27"/>
      <c r="Q218" s="28"/>
    </row>
    <row r="219" ht="15.75" customHeight="1">
      <c r="D219" s="23"/>
      <c r="E219" s="23"/>
      <c r="F219" s="23"/>
      <c r="G219" s="23"/>
      <c r="H219" s="29"/>
      <c r="I219" s="23"/>
      <c r="J219" s="23"/>
      <c r="K219" s="24" t="str">
        <f>IF(SUM(I219:J219)=0,"",I219/SUM(I219:J219))</f>
        <v/>
      </c>
      <c r="L219" s="24"/>
      <c r="M219" s="24"/>
      <c r="N219" s="24"/>
      <c r="O219" s="23"/>
      <c r="P219" s="25"/>
      <c r="Q219" s="23"/>
      <c r="R219" s="23"/>
    </row>
    <row r="220" ht="15.75" customHeight="1">
      <c r="H220" s="22"/>
      <c r="K220" s="26"/>
      <c r="L220" s="26"/>
      <c r="M220" s="26"/>
      <c r="N220" s="26"/>
      <c r="P220" s="27"/>
      <c r="Q220" s="28"/>
    </row>
    <row r="221" ht="15.75" customHeight="1">
      <c r="D221" s="23"/>
      <c r="E221" s="23"/>
      <c r="F221" s="23"/>
      <c r="G221" s="23"/>
      <c r="H221" s="29"/>
      <c r="I221" s="23"/>
      <c r="J221" s="23"/>
      <c r="K221" s="24" t="str">
        <f>IF(SUM(I221:J221)=0,"",I221/SUM(I221:J221))</f>
        <v/>
      </c>
      <c r="L221" s="24"/>
      <c r="M221" s="24"/>
      <c r="N221" s="24"/>
      <c r="O221" s="23"/>
      <c r="P221" s="25"/>
      <c r="Q221" s="23"/>
      <c r="R221" s="23"/>
    </row>
    <row r="222" ht="15.75" customHeight="1">
      <c r="H222" s="22"/>
      <c r="K222" s="26"/>
      <c r="L222" s="26"/>
      <c r="M222" s="26"/>
      <c r="N222" s="26"/>
      <c r="P222" s="27"/>
      <c r="Q222" s="28"/>
    </row>
    <row r="223" ht="15.75" customHeight="1">
      <c r="D223" s="23"/>
      <c r="E223" s="23"/>
      <c r="F223" s="23"/>
      <c r="G223" s="23"/>
      <c r="H223" s="29"/>
      <c r="I223" s="23"/>
      <c r="J223" s="23"/>
      <c r="K223" s="24" t="str">
        <f>IF(SUM(I223:J223)=0,"",I223/SUM(I223:J223))</f>
        <v/>
      </c>
      <c r="L223" s="24"/>
      <c r="M223" s="24"/>
      <c r="N223" s="24"/>
      <c r="O223" s="23"/>
      <c r="P223" s="25"/>
      <c r="Q223" s="23"/>
      <c r="R223" s="23"/>
    </row>
    <row r="224" ht="15.75" customHeight="1">
      <c r="H224" s="22"/>
      <c r="K224" s="26"/>
      <c r="L224" s="26"/>
      <c r="M224" s="26"/>
      <c r="N224" s="26"/>
      <c r="P224" s="27"/>
      <c r="Q224" s="28"/>
    </row>
    <row r="225" ht="15.75" customHeight="1">
      <c r="D225" s="23"/>
      <c r="E225" s="23"/>
      <c r="F225" s="23"/>
      <c r="G225" s="23"/>
      <c r="H225" s="29"/>
      <c r="I225" s="23"/>
      <c r="J225" s="23"/>
      <c r="K225" s="24" t="str">
        <f>IF(SUM(I225:J225)=0,"",I225/SUM(I225:J225))</f>
        <v/>
      </c>
      <c r="L225" s="24"/>
      <c r="M225" s="24"/>
      <c r="N225" s="24"/>
      <c r="O225" s="23"/>
      <c r="P225" s="25"/>
      <c r="Q225" s="23"/>
      <c r="R225" s="23"/>
    </row>
    <row r="226" ht="15.75" customHeight="1">
      <c r="H226" s="22"/>
      <c r="K226" s="26"/>
      <c r="L226" s="26"/>
      <c r="M226" s="26"/>
      <c r="N226" s="26"/>
      <c r="P226" s="27"/>
      <c r="Q226" s="28"/>
    </row>
    <row r="227" ht="15.75" customHeight="1">
      <c r="D227" s="23"/>
      <c r="E227" s="23"/>
      <c r="F227" s="23"/>
      <c r="G227" s="23"/>
      <c r="H227" s="29"/>
      <c r="I227" s="23"/>
      <c r="J227" s="23"/>
      <c r="K227" s="24" t="str">
        <f>IF(SUM(I227:J227)=0,"",I227/SUM(I227:J227))</f>
        <v/>
      </c>
      <c r="L227" s="24"/>
      <c r="M227" s="24"/>
      <c r="N227" s="24"/>
      <c r="O227" s="23"/>
      <c r="P227" s="25"/>
      <c r="Q227" s="23"/>
      <c r="R227" s="23"/>
    </row>
    <row r="228" ht="15.75" customHeight="1">
      <c r="H228" s="22"/>
      <c r="K228" s="26"/>
      <c r="L228" s="26"/>
      <c r="M228" s="26"/>
      <c r="N228" s="26"/>
      <c r="P228" s="27"/>
      <c r="Q228" s="28"/>
    </row>
    <row r="229" ht="15.75" customHeight="1">
      <c r="D229" s="23"/>
      <c r="E229" s="23"/>
      <c r="F229" s="23"/>
      <c r="G229" s="23"/>
      <c r="H229" s="29"/>
      <c r="I229" s="23"/>
      <c r="J229" s="23"/>
      <c r="K229" s="24" t="str">
        <f>IF(SUM(I229:J229)=0,"",I229/SUM(I229:J229))</f>
        <v/>
      </c>
      <c r="L229" s="24"/>
      <c r="M229" s="24"/>
      <c r="N229" s="24"/>
      <c r="O229" s="23"/>
      <c r="P229" s="25"/>
      <c r="Q229" s="23"/>
      <c r="R229" s="23"/>
    </row>
    <row r="230" ht="15.75" customHeight="1">
      <c r="H230" s="22"/>
      <c r="K230" s="26"/>
      <c r="L230" s="26"/>
      <c r="M230" s="26"/>
      <c r="N230" s="26"/>
      <c r="P230" s="27"/>
      <c r="Q230" s="28"/>
    </row>
    <row r="231" ht="15.75" customHeight="1">
      <c r="D231" s="23"/>
      <c r="E231" s="23"/>
      <c r="F231" s="23"/>
      <c r="G231" s="23"/>
      <c r="H231" s="29"/>
      <c r="I231" s="23"/>
      <c r="J231" s="23"/>
      <c r="K231" s="24" t="str">
        <f>IF(SUM(I231:J231)=0,"",I231/SUM(I231:J231))</f>
        <v/>
      </c>
      <c r="L231" s="24"/>
      <c r="M231" s="24"/>
      <c r="N231" s="24"/>
      <c r="O231" s="23"/>
      <c r="P231" s="25"/>
      <c r="Q231" s="23"/>
      <c r="R231" s="23"/>
    </row>
    <row r="232" ht="15.75" customHeight="1">
      <c r="H232" s="22"/>
      <c r="K232" s="26"/>
      <c r="L232" s="26"/>
      <c r="M232" s="26"/>
      <c r="N232" s="26"/>
      <c r="P232" s="27"/>
      <c r="Q232" s="28"/>
    </row>
    <row r="233" ht="15.75" customHeight="1">
      <c r="D233" s="23"/>
      <c r="E233" s="23"/>
      <c r="F233" s="23"/>
      <c r="G233" s="23"/>
      <c r="H233" s="29"/>
      <c r="I233" s="23"/>
      <c r="J233" s="23"/>
      <c r="K233" s="24" t="str">
        <f>IF(SUM(I233:J233)=0,"",I233/SUM(I233:J233))</f>
        <v/>
      </c>
      <c r="L233" s="24"/>
      <c r="M233" s="24"/>
      <c r="N233" s="24"/>
      <c r="O233" s="23"/>
      <c r="P233" s="25"/>
      <c r="Q233" s="23"/>
      <c r="R233" s="23"/>
    </row>
    <row r="234" ht="15.75" customHeight="1">
      <c r="H234" s="22"/>
      <c r="K234" s="26"/>
      <c r="L234" s="26"/>
      <c r="M234" s="26"/>
      <c r="N234" s="26"/>
      <c r="P234" s="27"/>
      <c r="Q234" s="28"/>
    </row>
    <row r="235" ht="15.75" customHeight="1">
      <c r="D235" s="23"/>
      <c r="E235" s="23"/>
      <c r="F235" s="23"/>
      <c r="G235" s="23"/>
      <c r="H235" s="29"/>
      <c r="I235" s="23"/>
      <c r="J235" s="23"/>
      <c r="K235" s="24" t="str">
        <f>IF(SUM(I235:J235)=0,"",I235/SUM(I235:J235))</f>
        <v/>
      </c>
      <c r="L235" s="24"/>
      <c r="M235" s="24"/>
      <c r="N235" s="24"/>
      <c r="O235" s="23"/>
      <c r="P235" s="25"/>
      <c r="Q235" s="23"/>
      <c r="R235" s="23"/>
    </row>
    <row r="236" ht="15.75" customHeight="1">
      <c r="H236" s="22"/>
      <c r="K236" s="26"/>
      <c r="L236" s="26"/>
      <c r="M236" s="26"/>
      <c r="N236" s="26"/>
      <c r="P236" s="27"/>
      <c r="Q236" s="28"/>
    </row>
    <row r="237" ht="15.75" customHeight="1">
      <c r="D237" s="23"/>
      <c r="E237" s="23"/>
      <c r="F237" s="23"/>
      <c r="G237" s="23"/>
      <c r="H237" s="29"/>
      <c r="I237" s="23"/>
      <c r="J237" s="23"/>
      <c r="K237" s="24" t="str">
        <f>IF(SUM(I237:J237)=0,"",I237/SUM(I237:J237))</f>
        <v/>
      </c>
      <c r="L237" s="24"/>
      <c r="M237" s="24"/>
      <c r="N237" s="24"/>
      <c r="O237" s="23"/>
      <c r="P237" s="25"/>
      <c r="Q237" s="23"/>
      <c r="R237" s="23"/>
    </row>
    <row r="238" ht="15.75" customHeight="1">
      <c r="H238" s="22"/>
      <c r="K238" s="26"/>
      <c r="L238" s="26"/>
      <c r="M238" s="26"/>
      <c r="N238" s="26"/>
      <c r="P238" s="27"/>
      <c r="Q238" s="28"/>
    </row>
    <row r="239" ht="15.75" customHeight="1">
      <c r="D239" s="23"/>
      <c r="E239" s="23"/>
      <c r="F239" s="23"/>
      <c r="G239" s="23"/>
      <c r="H239" s="29"/>
      <c r="I239" s="23"/>
      <c r="J239" s="23"/>
      <c r="K239" s="24" t="str">
        <f>IF(SUM(I239:J239)=0,"",I239/SUM(I239:J239))</f>
        <v/>
      </c>
      <c r="L239" s="24"/>
      <c r="M239" s="24"/>
      <c r="N239" s="24"/>
      <c r="O239" s="23"/>
      <c r="P239" s="25"/>
      <c r="Q239" s="23"/>
      <c r="R239" s="23"/>
    </row>
    <row r="240" ht="15.75" customHeight="1">
      <c r="H240" s="22"/>
      <c r="K240" s="26"/>
      <c r="L240" s="26"/>
      <c r="M240" s="26"/>
      <c r="N240" s="26"/>
      <c r="P240" s="27"/>
      <c r="Q240" s="28"/>
    </row>
    <row r="241" ht="15.75" customHeight="1">
      <c r="D241" s="23"/>
      <c r="E241" s="23"/>
      <c r="F241" s="23"/>
      <c r="G241" s="23"/>
      <c r="H241" s="29"/>
      <c r="I241" s="23"/>
      <c r="J241" s="23"/>
      <c r="K241" s="24" t="str">
        <f>IF(SUM(I241:J241)=0,"",I241/SUM(I241:J241))</f>
        <v/>
      </c>
      <c r="L241" s="24"/>
      <c r="M241" s="24"/>
      <c r="N241" s="24"/>
      <c r="O241" s="23"/>
      <c r="P241" s="25"/>
      <c r="Q241" s="23"/>
      <c r="R241" s="23"/>
    </row>
    <row r="242" ht="15.75" customHeight="1">
      <c r="H242" s="22"/>
      <c r="K242" s="26"/>
      <c r="L242" s="26"/>
      <c r="M242" s="26"/>
      <c r="N242" s="26"/>
      <c r="P242" s="27"/>
      <c r="Q242" s="28"/>
    </row>
    <row r="243" ht="15.75" customHeight="1">
      <c r="D243" s="23"/>
      <c r="E243" s="23"/>
      <c r="F243" s="23"/>
      <c r="G243" s="23"/>
      <c r="H243" s="29"/>
      <c r="I243" s="23"/>
      <c r="J243" s="23"/>
      <c r="K243" s="24" t="str">
        <f>IF(SUM(I243:J243)=0,"",I243/SUM(I243:J243))</f>
        <v/>
      </c>
      <c r="L243" s="24"/>
      <c r="M243" s="24"/>
      <c r="N243" s="24"/>
      <c r="O243" s="23"/>
      <c r="P243" s="25"/>
      <c r="Q243" s="23"/>
      <c r="R243" s="23"/>
    </row>
    <row r="244" ht="15.75" customHeight="1">
      <c r="H244" s="22"/>
      <c r="K244" s="26"/>
      <c r="L244" s="26"/>
      <c r="M244" s="26"/>
      <c r="N244" s="26"/>
      <c r="P244" s="27"/>
      <c r="Q244" s="28"/>
    </row>
    <row r="245" ht="15.75" customHeight="1">
      <c r="D245" s="23"/>
      <c r="E245" s="23"/>
      <c r="F245" s="23"/>
      <c r="G245" s="23"/>
      <c r="H245" s="29"/>
      <c r="I245" s="23"/>
      <c r="J245" s="23"/>
      <c r="K245" s="24" t="str">
        <f>IF(SUM(I245:J245)=0,"",I245/SUM(I245:J245))</f>
        <v/>
      </c>
      <c r="L245" s="24"/>
      <c r="M245" s="24"/>
      <c r="N245" s="24"/>
      <c r="O245" s="23"/>
      <c r="P245" s="25"/>
      <c r="Q245" s="23"/>
      <c r="R245" s="23"/>
    </row>
    <row r="246" ht="15.75" customHeight="1">
      <c r="H246" s="22"/>
      <c r="K246" s="26"/>
      <c r="L246" s="26"/>
      <c r="M246" s="26"/>
      <c r="N246" s="26"/>
      <c r="P246" s="27"/>
      <c r="Q246" s="28"/>
    </row>
    <row r="247" ht="15.75" customHeight="1">
      <c r="D247" s="23"/>
      <c r="E247" s="23"/>
      <c r="F247" s="23"/>
      <c r="G247" s="23"/>
      <c r="H247" s="29"/>
      <c r="I247" s="23"/>
      <c r="J247" s="23"/>
      <c r="K247" s="24" t="str">
        <f>IF(SUM(I247:J247)=0,"",I247/SUM(I247:J247))</f>
        <v/>
      </c>
      <c r="L247" s="24"/>
      <c r="M247" s="24"/>
      <c r="N247" s="24"/>
      <c r="O247" s="23"/>
      <c r="P247" s="25"/>
      <c r="Q247" s="23"/>
      <c r="R247" s="23"/>
    </row>
    <row r="248" ht="15.75" customHeight="1">
      <c r="H248" s="22"/>
      <c r="K248" s="26"/>
      <c r="L248" s="26"/>
      <c r="M248" s="26"/>
      <c r="N248" s="26"/>
      <c r="P248" s="27"/>
      <c r="Q248" s="28"/>
    </row>
    <row r="249" ht="15.75" customHeight="1">
      <c r="D249" s="23"/>
      <c r="E249" s="23"/>
      <c r="F249" s="23"/>
      <c r="G249" s="23"/>
      <c r="H249" s="29"/>
      <c r="I249" s="23"/>
      <c r="J249" s="23"/>
      <c r="K249" s="24" t="str">
        <f>IF(SUM(I249:J249)=0,"",I249/SUM(I249:J249))</f>
        <v/>
      </c>
      <c r="L249" s="24"/>
      <c r="M249" s="24"/>
      <c r="N249" s="24"/>
      <c r="O249" s="23"/>
      <c r="P249" s="25"/>
      <c r="Q249" s="23"/>
      <c r="R249" s="23"/>
    </row>
    <row r="250" ht="15.75" customHeight="1">
      <c r="H250" s="22"/>
      <c r="K250" s="26"/>
      <c r="L250" s="26"/>
      <c r="M250" s="26"/>
      <c r="N250" s="26"/>
      <c r="P250" s="27"/>
      <c r="Q250" s="28"/>
    </row>
    <row r="251" ht="15.75" customHeight="1">
      <c r="D251" s="23"/>
      <c r="E251" s="23"/>
      <c r="F251" s="23"/>
      <c r="G251" s="23"/>
      <c r="H251" s="29"/>
      <c r="I251" s="23"/>
      <c r="J251" s="23"/>
      <c r="K251" s="24" t="str">
        <f>IF(SUM(I251:J251)=0,"",I251/SUM(I251:J251))</f>
        <v/>
      </c>
      <c r="L251" s="24"/>
      <c r="M251" s="24"/>
      <c r="N251" s="24"/>
      <c r="O251" s="23"/>
      <c r="P251" s="25"/>
      <c r="Q251" s="23"/>
      <c r="R251" s="23"/>
    </row>
    <row r="252" ht="15.75" customHeight="1">
      <c r="H252" s="22"/>
      <c r="K252" s="26"/>
      <c r="L252" s="26"/>
      <c r="M252" s="26"/>
      <c r="N252" s="26"/>
      <c r="P252" s="27"/>
      <c r="Q252" s="28"/>
    </row>
    <row r="253" ht="15.75" customHeight="1">
      <c r="D253" s="23"/>
      <c r="E253" s="23"/>
      <c r="F253" s="23"/>
      <c r="G253" s="23"/>
      <c r="H253" s="29"/>
      <c r="I253" s="23"/>
      <c r="J253" s="23"/>
      <c r="K253" s="24" t="str">
        <f>IF(SUM(I253:J253)=0,"",I253/SUM(I253:J253))</f>
        <v/>
      </c>
      <c r="L253" s="24"/>
      <c r="M253" s="24"/>
      <c r="N253" s="24"/>
      <c r="O253" s="23"/>
      <c r="P253" s="25"/>
      <c r="Q253" s="23"/>
      <c r="R253" s="23"/>
    </row>
    <row r="254" ht="15.75" customHeight="1">
      <c r="H254" s="22"/>
      <c r="K254" s="26"/>
      <c r="L254" s="26"/>
      <c r="M254" s="26"/>
      <c r="N254" s="26"/>
      <c r="P254" s="27"/>
      <c r="Q254" s="28"/>
    </row>
    <row r="255" ht="15.75" customHeight="1">
      <c r="D255" s="23"/>
      <c r="E255" s="23"/>
      <c r="F255" s="23"/>
      <c r="G255" s="23"/>
      <c r="H255" s="29"/>
      <c r="I255" s="23"/>
      <c r="J255" s="23"/>
      <c r="K255" s="24" t="str">
        <f>IF(SUM(I255:J255)=0,"",I255/SUM(I255:J255))</f>
        <v/>
      </c>
      <c r="L255" s="24"/>
      <c r="M255" s="24"/>
      <c r="N255" s="24"/>
      <c r="O255" s="23"/>
      <c r="P255" s="25"/>
      <c r="Q255" s="23"/>
      <c r="R255" s="23"/>
    </row>
    <row r="256" ht="15.75" customHeight="1">
      <c r="H256" s="22"/>
      <c r="K256" s="26"/>
      <c r="L256" s="26"/>
      <c r="M256" s="26"/>
      <c r="N256" s="26"/>
      <c r="P256" s="27"/>
      <c r="Q256" s="28"/>
    </row>
    <row r="257" ht="15.75" customHeight="1">
      <c r="D257" s="23"/>
      <c r="E257" s="23"/>
      <c r="F257" s="23"/>
      <c r="G257" s="23"/>
      <c r="H257" s="29"/>
      <c r="I257" s="23"/>
      <c r="J257" s="23"/>
      <c r="K257" s="24" t="str">
        <f>IF(SUM(I257:J257)=0,"",I257/SUM(I257:J257))</f>
        <v/>
      </c>
      <c r="L257" s="24"/>
      <c r="M257" s="24"/>
      <c r="N257" s="24"/>
      <c r="O257" s="23"/>
      <c r="P257" s="25"/>
      <c r="Q257" s="23"/>
      <c r="R257" s="23"/>
    </row>
    <row r="258" ht="15.75" customHeight="1">
      <c r="H258" s="22"/>
      <c r="K258" s="26"/>
      <c r="L258" s="26"/>
      <c r="M258" s="26"/>
      <c r="N258" s="26"/>
      <c r="P258" s="27"/>
      <c r="Q258" s="28"/>
    </row>
    <row r="259" ht="15.75" customHeight="1">
      <c r="D259" s="23"/>
      <c r="E259" s="23"/>
      <c r="F259" s="23"/>
      <c r="G259" s="23"/>
      <c r="H259" s="29"/>
      <c r="I259" s="23"/>
      <c r="J259" s="23"/>
      <c r="K259" s="24" t="str">
        <f>IF(SUM(I259:J259)=0,"",I259/SUM(I259:J259))</f>
        <v/>
      </c>
      <c r="L259" s="24"/>
      <c r="M259" s="24"/>
      <c r="N259" s="24"/>
      <c r="O259" s="23"/>
      <c r="P259" s="25"/>
      <c r="Q259" s="23"/>
      <c r="R259" s="23"/>
    </row>
    <row r="260" ht="15.75" customHeight="1">
      <c r="H260" s="22"/>
      <c r="K260" s="26"/>
      <c r="L260" s="26"/>
      <c r="M260" s="26"/>
      <c r="N260" s="26"/>
      <c r="P260" s="27"/>
      <c r="Q260" s="28"/>
    </row>
    <row r="261" ht="15.75" customHeight="1">
      <c r="D261" s="23"/>
      <c r="E261" s="23"/>
      <c r="F261" s="23"/>
      <c r="G261" s="23"/>
      <c r="H261" s="29"/>
      <c r="I261" s="23"/>
      <c r="J261" s="23"/>
      <c r="K261" s="24" t="str">
        <f>IF(SUM(I261:J261)=0,"",I261/SUM(I261:J261))</f>
        <v/>
      </c>
      <c r="L261" s="24"/>
      <c r="M261" s="24"/>
      <c r="N261" s="24"/>
      <c r="O261" s="23"/>
      <c r="P261" s="25"/>
      <c r="Q261" s="23"/>
      <c r="R261" s="23"/>
    </row>
    <row r="262" ht="15.75" customHeight="1">
      <c r="H262" s="22"/>
      <c r="K262" s="26"/>
      <c r="L262" s="26"/>
      <c r="M262" s="26"/>
      <c r="N262" s="26"/>
      <c r="P262" s="27"/>
      <c r="Q262" s="28"/>
    </row>
    <row r="263" ht="15.75" customHeight="1">
      <c r="D263" s="23"/>
      <c r="E263" s="23"/>
      <c r="F263" s="23"/>
      <c r="G263" s="23"/>
      <c r="H263" s="29"/>
      <c r="I263" s="23"/>
      <c r="J263" s="23"/>
      <c r="K263" s="24" t="str">
        <f>IF(SUM(I263:J263)=0,"",I263/SUM(I263:J263))</f>
        <v/>
      </c>
      <c r="L263" s="24"/>
      <c r="M263" s="24"/>
      <c r="N263" s="24"/>
      <c r="O263" s="23"/>
      <c r="P263" s="25"/>
      <c r="Q263" s="23"/>
      <c r="R263" s="23"/>
    </row>
    <row r="264" ht="15.75" customHeight="1">
      <c r="H264" s="22"/>
      <c r="K264" s="26"/>
      <c r="L264" s="26"/>
      <c r="M264" s="26"/>
      <c r="N264" s="26"/>
      <c r="P264" s="27"/>
      <c r="Q264" s="28"/>
    </row>
    <row r="265" ht="15.75" customHeight="1">
      <c r="D265" s="23"/>
      <c r="E265" s="23"/>
      <c r="F265" s="23"/>
      <c r="G265" s="23"/>
      <c r="H265" s="29"/>
      <c r="I265" s="23"/>
      <c r="J265" s="23"/>
      <c r="K265" s="24" t="str">
        <f>IF(SUM(I265:J265)=0,"",I265/SUM(I265:J265))</f>
        <v/>
      </c>
      <c r="L265" s="24"/>
      <c r="M265" s="24"/>
      <c r="N265" s="24"/>
      <c r="O265" s="23"/>
      <c r="P265" s="25"/>
      <c r="Q265" s="23"/>
      <c r="R265" s="23"/>
    </row>
    <row r="266" ht="15.75" customHeight="1">
      <c r="H266" s="22"/>
      <c r="K266" s="26"/>
      <c r="L266" s="26"/>
      <c r="M266" s="26"/>
      <c r="N266" s="26"/>
      <c r="P266" s="27"/>
      <c r="Q266" s="28"/>
    </row>
    <row r="267" ht="15.75" customHeight="1">
      <c r="D267" s="23"/>
      <c r="E267" s="23"/>
      <c r="F267" s="23"/>
      <c r="G267" s="23"/>
      <c r="H267" s="29"/>
      <c r="I267" s="23"/>
      <c r="J267" s="23"/>
      <c r="K267" s="24" t="str">
        <f>IF(SUM(I267:J267)=0,"",I267/SUM(I267:J267))</f>
        <v/>
      </c>
      <c r="L267" s="24"/>
      <c r="M267" s="24"/>
      <c r="N267" s="24"/>
      <c r="O267" s="23"/>
      <c r="P267" s="25"/>
      <c r="Q267" s="23"/>
      <c r="R267" s="23"/>
    </row>
    <row r="268" ht="15.75" customHeight="1">
      <c r="H268" s="22"/>
      <c r="K268" s="26"/>
      <c r="L268" s="26"/>
      <c r="M268" s="26"/>
      <c r="N268" s="26"/>
      <c r="P268" s="27"/>
      <c r="Q268" s="28"/>
    </row>
    <row r="269" ht="15.75" customHeight="1">
      <c r="D269" s="23"/>
      <c r="E269" s="23"/>
      <c r="F269" s="23"/>
      <c r="G269" s="23"/>
      <c r="H269" s="29"/>
      <c r="I269" s="23"/>
      <c r="J269" s="23"/>
      <c r="K269" s="24" t="str">
        <f>IF(SUM(I269:J269)=0,"",I269/SUM(I269:J269))</f>
        <v/>
      </c>
      <c r="L269" s="24"/>
      <c r="M269" s="24"/>
      <c r="N269" s="24"/>
      <c r="O269" s="23"/>
      <c r="P269" s="25"/>
      <c r="Q269" s="23"/>
      <c r="R269" s="23"/>
    </row>
    <row r="270" ht="15.75" customHeight="1">
      <c r="H270" s="22"/>
      <c r="K270" s="26"/>
      <c r="L270" s="26"/>
      <c r="M270" s="26"/>
      <c r="N270" s="26"/>
      <c r="P270" s="27"/>
      <c r="Q270" s="28"/>
    </row>
    <row r="271" ht="15.75" customHeight="1">
      <c r="D271" s="23"/>
      <c r="E271" s="23"/>
      <c r="F271" s="23"/>
      <c r="G271" s="23"/>
      <c r="H271" s="29"/>
      <c r="I271" s="23"/>
      <c r="J271" s="23"/>
      <c r="K271" s="24" t="str">
        <f>IF(SUM(I271:J271)=0,"",I271/SUM(I271:J271))</f>
        <v/>
      </c>
      <c r="L271" s="24"/>
      <c r="M271" s="24"/>
      <c r="N271" s="24"/>
      <c r="O271" s="23"/>
      <c r="P271" s="25"/>
      <c r="Q271" s="23"/>
      <c r="R271" s="23"/>
    </row>
    <row r="272" ht="15.75" customHeight="1">
      <c r="H272" s="22"/>
      <c r="K272" s="26"/>
      <c r="L272" s="26"/>
      <c r="M272" s="26"/>
      <c r="N272" s="26"/>
      <c r="P272" s="27"/>
      <c r="Q272" s="28"/>
    </row>
    <row r="273" ht="15.75" customHeight="1">
      <c r="D273" s="23"/>
      <c r="E273" s="23"/>
      <c r="F273" s="23"/>
      <c r="G273" s="23"/>
      <c r="H273" s="29"/>
      <c r="I273" s="23"/>
      <c r="J273" s="23"/>
      <c r="K273" s="24" t="str">
        <f>IF(SUM(I273:J273)=0,"",I273/SUM(I273:J273))</f>
        <v/>
      </c>
      <c r="L273" s="24"/>
      <c r="M273" s="24"/>
      <c r="N273" s="24"/>
      <c r="O273" s="23"/>
      <c r="P273" s="25"/>
      <c r="Q273" s="23"/>
      <c r="R273" s="23"/>
    </row>
    <row r="274" ht="15.75" customHeight="1">
      <c r="H274" s="22"/>
      <c r="K274" s="26"/>
      <c r="L274" s="26"/>
      <c r="M274" s="26"/>
      <c r="N274" s="26"/>
      <c r="P274" s="27"/>
      <c r="Q274" s="28"/>
    </row>
    <row r="275" ht="15.75" customHeight="1">
      <c r="D275" s="23"/>
      <c r="E275" s="23"/>
      <c r="F275" s="23"/>
      <c r="G275" s="23"/>
      <c r="H275" s="29"/>
      <c r="I275" s="23"/>
      <c r="J275" s="23"/>
      <c r="K275" s="24" t="str">
        <f>IF(SUM(I275:J275)=0,"",I275/SUM(I275:J275))</f>
        <v/>
      </c>
      <c r="L275" s="24"/>
      <c r="M275" s="24"/>
      <c r="N275" s="24"/>
      <c r="O275" s="23"/>
      <c r="P275" s="25"/>
      <c r="Q275" s="23"/>
      <c r="R275" s="23"/>
    </row>
    <row r="276" ht="15.75" customHeight="1">
      <c r="H276" s="22"/>
      <c r="K276" s="26"/>
      <c r="L276" s="26"/>
      <c r="M276" s="26"/>
      <c r="N276" s="26"/>
      <c r="P276" s="27"/>
      <c r="Q276" s="28"/>
    </row>
    <row r="277" ht="15.75" customHeight="1">
      <c r="D277" s="23"/>
      <c r="E277" s="23"/>
      <c r="F277" s="23"/>
      <c r="G277" s="23"/>
      <c r="H277" s="29"/>
      <c r="I277" s="23"/>
      <c r="J277" s="23"/>
      <c r="K277" s="24" t="str">
        <f>IF(SUM(I277:J277)=0,"",I277/SUM(I277:J277))</f>
        <v/>
      </c>
      <c r="L277" s="24"/>
      <c r="M277" s="24"/>
      <c r="N277" s="24"/>
      <c r="O277" s="23"/>
      <c r="P277" s="25"/>
      <c r="Q277" s="23"/>
      <c r="R277" s="23"/>
    </row>
    <row r="278" ht="15.75" customHeight="1">
      <c r="H278" s="22"/>
      <c r="K278" s="26"/>
      <c r="L278" s="26"/>
      <c r="M278" s="26"/>
      <c r="N278" s="26"/>
      <c r="P278" s="27"/>
      <c r="Q278" s="28"/>
    </row>
    <row r="279" ht="15.75" customHeight="1">
      <c r="D279" s="23"/>
      <c r="E279" s="23"/>
      <c r="F279" s="23"/>
      <c r="G279" s="23"/>
      <c r="H279" s="29"/>
      <c r="I279" s="23"/>
      <c r="J279" s="23"/>
      <c r="K279" s="24" t="str">
        <f>IF(SUM(I279:J279)=0,"",I279/SUM(I279:J279))</f>
        <v/>
      </c>
      <c r="L279" s="24"/>
      <c r="M279" s="24"/>
      <c r="N279" s="24"/>
      <c r="O279" s="23"/>
      <c r="P279" s="25"/>
      <c r="Q279" s="23"/>
      <c r="R279" s="23"/>
    </row>
    <row r="280" ht="15.75" customHeight="1">
      <c r="H280" s="22"/>
      <c r="K280" s="26"/>
      <c r="L280" s="26"/>
      <c r="M280" s="26"/>
      <c r="N280" s="26"/>
      <c r="P280" s="27"/>
      <c r="Q280" s="28"/>
    </row>
    <row r="281" ht="15.75" customHeight="1">
      <c r="D281" s="23"/>
      <c r="E281" s="23"/>
      <c r="F281" s="23"/>
      <c r="G281" s="23"/>
      <c r="H281" s="29"/>
      <c r="I281" s="23"/>
      <c r="J281" s="23"/>
      <c r="K281" s="24" t="str">
        <f>IF(SUM(I281:J281)=0,"",I281/SUM(I281:J281))</f>
        <v/>
      </c>
      <c r="L281" s="24"/>
      <c r="M281" s="24"/>
      <c r="N281" s="24"/>
      <c r="O281" s="23"/>
      <c r="P281" s="25"/>
      <c r="Q281" s="23"/>
      <c r="R281" s="23"/>
    </row>
    <row r="282" ht="15.75" customHeight="1">
      <c r="H282" s="22"/>
      <c r="K282" s="26"/>
      <c r="L282" s="26"/>
      <c r="M282" s="26"/>
      <c r="N282" s="26"/>
      <c r="P282" s="27"/>
      <c r="Q282" s="28"/>
    </row>
    <row r="283" ht="15.75" customHeight="1">
      <c r="D283" s="23"/>
      <c r="E283" s="23"/>
      <c r="F283" s="23"/>
      <c r="G283" s="23"/>
      <c r="H283" s="29"/>
      <c r="I283" s="23"/>
      <c r="J283" s="23"/>
      <c r="K283" s="24" t="str">
        <f>IF(SUM(I283:J283)=0,"",I283/SUM(I283:J283))</f>
        <v/>
      </c>
      <c r="L283" s="24"/>
      <c r="M283" s="24"/>
      <c r="N283" s="24"/>
      <c r="O283" s="23"/>
      <c r="P283" s="25"/>
      <c r="Q283" s="23"/>
      <c r="R283" s="23"/>
    </row>
    <row r="284" ht="15.75" customHeight="1">
      <c r="H284" s="22"/>
      <c r="K284" s="26"/>
      <c r="L284" s="26"/>
      <c r="M284" s="26"/>
      <c r="N284" s="26"/>
      <c r="P284" s="27"/>
      <c r="Q284" s="28"/>
    </row>
    <row r="285" ht="15.75" customHeight="1">
      <c r="D285" s="23"/>
      <c r="E285" s="23"/>
      <c r="F285" s="23"/>
      <c r="G285" s="23"/>
      <c r="H285" s="29"/>
      <c r="I285" s="23"/>
      <c r="J285" s="23"/>
      <c r="K285" s="24" t="str">
        <f>IF(SUM(I285:J285)=0,"",I285/SUM(I285:J285))</f>
        <v/>
      </c>
      <c r="L285" s="24"/>
      <c r="M285" s="24"/>
      <c r="N285" s="24"/>
      <c r="O285" s="23"/>
      <c r="P285" s="25"/>
      <c r="Q285" s="23"/>
      <c r="R285" s="23"/>
    </row>
    <row r="286" ht="15.75" customHeight="1">
      <c r="H286" s="22"/>
      <c r="K286" s="26"/>
      <c r="L286" s="26"/>
      <c r="M286" s="26"/>
      <c r="N286" s="26"/>
      <c r="P286" s="27"/>
      <c r="Q286" s="28"/>
    </row>
    <row r="287" ht="15.75" customHeight="1">
      <c r="D287" s="23"/>
      <c r="E287" s="23"/>
      <c r="F287" s="23"/>
      <c r="G287" s="23"/>
      <c r="H287" s="29"/>
      <c r="I287" s="23"/>
      <c r="J287" s="23"/>
      <c r="K287" s="24" t="str">
        <f>IF(SUM(I287:J287)=0,"",I287/SUM(I287:J287))</f>
        <v/>
      </c>
      <c r="L287" s="24"/>
      <c r="M287" s="24"/>
      <c r="N287" s="24"/>
      <c r="O287" s="23"/>
      <c r="P287" s="25"/>
      <c r="Q287" s="23"/>
      <c r="R287" s="23"/>
    </row>
    <row r="288" ht="15.75" customHeight="1">
      <c r="H288" s="22"/>
      <c r="P288" s="27"/>
    </row>
    <row r="289" ht="15.75" customHeight="1">
      <c r="H289" s="22"/>
      <c r="P289" s="27"/>
    </row>
    <row r="290" ht="15.75" customHeight="1">
      <c r="H290" s="22"/>
      <c r="P290" s="27"/>
    </row>
    <row r="291" ht="15.75" customHeight="1">
      <c r="H291" s="22"/>
      <c r="P291" s="27"/>
    </row>
    <row r="292" ht="15.75" customHeight="1">
      <c r="H292" s="22"/>
      <c r="P292" s="27"/>
    </row>
    <row r="293" ht="15.75" customHeight="1">
      <c r="H293" s="22"/>
      <c r="P293" s="27"/>
    </row>
    <row r="294" ht="15.75" customHeight="1">
      <c r="H294" s="22"/>
      <c r="P294" s="27"/>
    </row>
    <row r="295" ht="15.75" customHeight="1">
      <c r="H295" s="22"/>
      <c r="P295" s="27"/>
    </row>
    <row r="296" ht="15.75" customHeight="1">
      <c r="H296" s="22"/>
      <c r="P296" s="27"/>
    </row>
    <row r="297" ht="15.75" customHeight="1">
      <c r="H297" s="22"/>
      <c r="P297" s="27"/>
    </row>
    <row r="298" ht="15.75" customHeight="1">
      <c r="H298" s="22"/>
      <c r="P298" s="27"/>
    </row>
    <row r="299" ht="15.75" customHeight="1">
      <c r="H299" s="22"/>
      <c r="P299" s="27"/>
    </row>
    <row r="300" ht="15.75" customHeight="1">
      <c r="H300" s="22"/>
      <c r="P300" s="27"/>
    </row>
    <row r="301" ht="15.75" customHeight="1">
      <c r="H301" s="22"/>
      <c r="P301" s="27"/>
    </row>
    <row r="302" ht="15.75" customHeight="1">
      <c r="H302" s="22"/>
      <c r="P302" s="27"/>
    </row>
    <row r="303" ht="15.75" customHeight="1">
      <c r="H303" s="22"/>
      <c r="P303" s="27"/>
    </row>
    <row r="304" ht="15.75" customHeight="1">
      <c r="H304" s="22"/>
      <c r="P304" s="27"/>
    </row>
    <row r="305" ht="15.75" customHeight="1">
      <c r="H305" s="22"/>
      <c r="P305" s="27"/>
    </row>
    <row r="306" ht="15.75" customHeight="1">
      <c r="H306" s="22"/>
      <c r="P306" s="27"/>
    </row>
    <row r="307" ht="15.75" customHeight="1">
      <c r="H307" s="22"/>
      <c r="P307" s="27"/>
    </row>
    <row r="308" ht="15.75" customHeight="1">
      <c r="H308" s="22"/>
      <c r="P308" s="27"/>
    </row>
    <row r="309" ht="15.75" customHeight="1">
      <c r="H309" s="22"/>
      <c r="P309" s="27"/>
    </row>
    <row r="310" ht="15.75" customHeight="1">
      <c r="H310" s="22"/>
      <c r="P310" s="27"/>
    </row>
    <row r="311" ht="15.75" customHeight="1">
      <c r="H311" s="22"/>
      <c r="P311" s="27"/>
    </row>
    <row r="312" ht="15.75" customHeight="1">
      <c r="H312" s="22"/>
      <c r="P312" s="27"/>
    </row>
    <row r="313" ht="15.75" customHeight="1">
      <c r="H313" s="22"/>
      <c r="P313" s="27"/>
    </row>
    <row r="314" ht="15.75" customHeight="1">
      <c r="H314" s="22"/>
      <c r="P314" s="27"/>
    </row>
    <row r="315" ht="15.75" customHeight="1">
      <c r="H315" s="22"/>
      <c r="P315" s="27"/>
    </row>
    <row r="316" ht="15.75" customHeight="1">
      <c r="H316" s="22"/>
      <c r="P316" s="27"/>
    </row>
    <row r="317" ht="15.75" customHeight="1">
      <c r="H317" s="22"/>
      <c r="P317" s="27"/>
    </row>
    <row r="318" ht="15.75" customHeight="1">
      <c r="H318" s="22"/>
      <c r="P318" s="27"/>
    </row>
    <row r="319" ht="15.75" customHeight="1">
      <c r="H319" s="22"/>
      <c r="P319" s="27"/>
    </row>
    <row r="320" ht="15.75" customHeight="1">
      <c r="H320" s="22"/>
      <c r="P320" s="27"/>
    </row>
    <row r="321" ht="15.75" customHeight="1">
      <c r="H321" s="22"/>
      <c r="P321" s="27"/>
    </row>
    <row r="322" ht="15.75" customHeight="1">
      <c r="H322" s="22"/>
      <c r="P322" s="27"/>
    </row>
    <row r="323" ht="15.75" customHeight="1">
      <c r="H323" s="22"/>
      <c r="P323" s="27"/>
    </row>
    <row r="324" ht="15.75" customHeight="1">
      <c r="H324" s="22"/>
      <c r="P324" s="27"/>
    </row>
    <row r="325" ht="15.75" customHeight="1">
      <c r="H325" s="22"/>
      <c r="P325" s="27"/>
    </row>
    <row r="326" ht="15.75" customHeight="1">
      <c r="H326" s="22"/>
      <c r="P326" s="27"/>
    </row>
    <row r="327" ht="15.75" customHeight="1">
      <c r="H327" s="22"/>
      <c r="P327" s="27"/>
    </row>
    <row r="328" ht="15.75" customHeight="1">
      <c r="H328" s="22"/>
      <c r="P328" s="27"/>
    </row>
    <row r="329" ht="15.75" customHeight="1">
      <c r="H329" s="22"/>
      <c r="P329" s="27"/>
    </row>
    <row r="330" ht="15.75" customHeight="1">
      <c r="H330" s="22"/>
      <c r="P330" s="27"/>
    </row>
    <row r="331" ht="15.75" customHeight="1">
      <c r="H331" s="22"/>
      <c r="P331" s="27"/>
    </row>
    <row r="332" ht="15.75" customHeight="1">
      <c r="H332" s="22"/>
      <c r="P332" s="27"/>
    </row>
    <row r="333" ht="15.75" customHeight="1">
      <c r="H333" s="22"/>
      <c r="P333" s="27"/>
    </row>
    <row r="334" ht="15.75" customHeight="1">
      <c r="H334" s="22"/>
      <c r="P334" s="27"/>
    </row>
    <row r="335" ht="15.75" customHeight="1">
      <c r="H335" s="22"/>
      <c r="P335" s="27"/>
    </row>
    <row r="336" ht="15.75" customHeight="1">
      <c r="H336" s="22"/>
      <c r="P336" s="27"/>
    </row>
    <row r="337" ht="15.75" customHeight="1">
      <c r="H337" s="22"/>
      <c r="P337" s="27"/>
    </row>
    <row r="338" ht="15.75" customHeight="1">
      <c r="H338" s="22"/>
      <c r="P338" s="27"/>
    </row>
    <row r="339" ht="15.75" customHeight="1">
      <c r="H339" s="22"/>
      <c r="P339" s="27"/>
    </row>
    <row r="340" ht="15.75" customHeight="1">
      <c r="H340" s="22"/>
      <c r="P340" s="27"/>
    </row>
    <row r="341" ht="15.75" customHeight="1">
      <c r="H341" s="22"/>
      <c r="P341" s="27"/>
    </row>
    <row r="342" ht="15.75" customHeight="1">
      <c r="H342" s="22"/>
      <c r="P342" s="27"/>
    </row>
    <row r="343" ht="15.75" customHeight="1">
      <c r="H343" s="22"/>
      <c r="P343" s="27"/>
    </row>
    <row r="344" ht="15.75" customHeight="1">
      <c r="H344" s="22"/>
      <c r="P344" s="27"/>
    </row>
    <row r="345" ht="15.75" customHeight="1">
      <c r="H345" s="22"/>
      <c r="P345" s="27"/>
    </row>
    <row r="346" ht="15.75" customHeight="1">
      <c r="H346" s="22"/>
      <c r="P346" s="27"/>
    </row>
    <row r="347" ht="15.75" customHeight="1">
      <c r="H347" s="22"/>
      <c r="P347" s="27"/>
    </row>
    <row r="348" ht="15.75" customHeight="1">
      <c r="H348" s="22"/>
      <c r="P348" s="27"/>
    </row>
    <row r="349" ht="15.75" customHeight="1">
      <c r="H349" s="22"/>
      <c r="P349" s="27"/>
    </row>
    <row r="350" ht="15.75" customHeight="1">
      <c r="H350" s="22"/>
      <c r="P350" s="27"/>
    </row>
    <row r="351" ht="15.75" customHeight="1">
      <c r="H351" s="22"/>
      <c r="P351" s="27"/>
    </row>
    <row r="352" ht="15.75" customHeight="1">
      <c r="H352" s="22"/>
      <c r="P352" s="27"/>
    </row>
    <row r="353" ht="15.75" customHeight="1">
      <c r="H353" s="22"/>
      <c r="P353" s="27"/>
    </row>
    <row r="354" ht="15.75" customHeight="1">
      <c r="H354" s="22"/>
      <c r="P354" s="27"/>
    </row>
    <row r="355" ht="15.75" customHeight="1">
      <c r="H355" s="22"/>
      <c r="P355" s="27"/>
    </row>
    <row r="356" ht="15.75" customHeight="1">
      <c r="H356" s="22"/>
      <c r="P356" s="27"/>
    </row>
    <row r="357" ht="15.75" customHeight="1">
      <c r="H357" s="22"/>
      <c r="P357" s="27"/>
    </row>
    <row r="358" ht="15.75" customHeight="1">
      <c r="H358" s="22"/>
      <c r="P358" s="27"/>
    </row>
    <row r="359" ht="15.75" customHeight="1">
      <c r="H359" s="22"/>
      <c r="P359" s="27"/>
    </row>
    <row r="360" ht="15.75" customHeight="1">
      <c r="H360" s="22"/>
      <c r="P360" s="27"/>
    </row>
    <row r="361" ht="15.75" customHeight="1">
      <c r="H361" s="22"/>
      <c r="P361" s="27"/>
    </row>
    <row r="362" ht="15.75" customHeight="1">
      <c r="H362" s="22"/>
      <c r="P362" s="27"/>
    </row>
    <row r="363" ht="15.75" customHeight="1">
      <c r="H363" s="22"/>
      <c r="P363" s="27"/>
    </row>
    <row r="364" ht="15.75" customHeight="1">
      <c r="H364" s="22"/>
      <c r="P364" s="27"/>
    </row>
    <row r="365" ht="15.75" customHeight="1">
      <c r="H365" s="22"/>
      <c r="P365" s="27"/>
    </row>
    <row r="366" ht="15.75" customHeight="1">
      <c r="H366" s="22"/>
      <c r="P366" s="27"/>
    </row>
    <row r="367" ht="15.75" customHeight="1">
      <c r="H367" s="22"/>
      <c r="P367" s="27"/>
    </row>
    <row r="368" ht="15.75" customHeight="1">
      <c r="H368" s="22"/>
      <c r="P368" s="27"/>
    </row>
    <row r="369" ht="15.75" customHeight="1">
      <c r="H369" s="22"/>
      <c r="P369" s="27"/>
    </row>
    <row r="370" ht="15.75" customHeight="1">
      <c r="H370" s="22"/>
      <c r="P370" s="27"/>
    </row>
    <row r="371" ht="15.75" customHeight="1">
      <c r="H371" s="22"/>
      <c r="P371" s="27"/>
    </row>
    <row r="372" ht="15.75" customHeight="1">
      <c r="H372" s="22"/>
      <c r="P372" s="27"/>
    </row>
    <row r="373" ht="15.75" customHeight="1">
      <c r="H373" s="22"/>
      <c r="P373" s="27"/>
    </row>
    <row r="374" ht="15.75" customHeight="1">
      <c r="H374" s="22"/>
      <c r="P374" s="27"/>
    </row>
    <row r="375" ht="15.75" customHeight="1">
      <c r="H375" s="22"/>
      <c r="P375" s="27"/>
    </row>
    <row r="376" ht="15.75" customHeight="1">
      <c r="H376" s="22"/>
      <c r="P376" s="27"/>
    </row>
    <row r="377" ht="15.75" customHeight="1">
      <c r="H377" s="22"/>
      <c r="P377" s="27"/>
    </row>
    <row r="378" ht="15.75" customHeight="1">
      <c r="H378" s="22"/>
      <c r="P378" s="27"/>
    </row>
    <row r="379" ht="15.75" customHeight="1">
      <c r="H379" s="22"/>
      <c r="P379" s="27"/>
    </row>
    <row r="380" ht="15.75" customHeight="1">
      <c r="H380" s="22"/>
      <c r="P380" s="27"/>
    </row>
    <row r="381" ht="15.75" customHeight="1">
      <c r="H381" s="22"/>
      <c r="P381" s="27"/>
    </row>
    <row r="382" ht="15.75" customHeight="1">
      <c r="H382" s="22"/>
      <c r="P382" s="27"/>
    </row>
    <row r="383" ht="15.75" customHeight="1">
      <c r="H383" s="22"/>
      <c r="P383" s="27"/>
    </row>
    <row r="384" ht="15.75" customHeight="1">
      <c r="H384" s="22"/>
      <c r="P384" s="27"/>
    </row>
    <row r="385" ht="15.75" customHeight="1">
      <c r="H385" s="22"/>
      <c r="P385" s="27"/>
    </row>
    <row r="386" ht="15.75" customHeight="1">
      <c r="H386" s="22"/>
      <c r="P386" s="27"/>
    </row>
    <row r="387" ht="15.75" customHeight="1">
      <c r="H387" s="22"/>
      <c r="P387" s="27"/>
    </row>
    <row r="388" ht="15.75" customHeight="1">
      <c r="H388" s="22"/>
      <c r="P388" s="27"/>
    </row>
    <row r="389" ht="15.75" customHeight="1">
      <c r="H389" s="22"/>
      <c r="P389" s="27"/>
    </row>
    <row r="390" ht="15.75" customHeight="1">
      <c r="H390" s="22"/>
      <c r="P390" s="27"/>
    </row>
    <row r="391" ht="15.75" customHeight="1">
      <c r="H391" s="22"/>
      <c r="P391" s="27"/>
    </row>
    <row r="392" ht="15.75" customHeight="1">
      <c r="H392" s="22"/>
      <c r="P392" s="27"/>
    </row>
    <row r="393" ht="15.75" customHeight="1">
      <c r="H393" s="22"/>
      <c r="P393" s="27"/>
    </row>
    <row r="394" ht="15.75" customHeight="1">
      <c r="H394" s="22"/>
      <c r="P394" s="27"/>
    </row>
    <row r="395" ht="15.75" customHeight="1">
      <c r="H395" s="22"/>
      <c r="P395" s="27"/>
    </row>
    <row r="396" ht="15.75" customHeight="1">
      <c r="H396" s="22"/>
      <c r="P396" s="27"/>
    </row>
    <row r="397" ht="15.75" customHeight="1">
      <c r="H397" s="22"/>
      <c r="P397" s="27"/>
    </row>
    <row r="398" ht="15.75" customHeight="1">
      <c r="H398" s="22"/>
      <c r="P398" s="27"/>
    </row>
    <row r="399" ht="15.75" customHeight="1">
      <c r="H399" s="22"/>
      <c r="P399" s="27"/>
    </row>
    <row r="400" ht="15.75" customHeight="1">
      <c r="H400" s="22"/>
      <c r="P400" s="27"/>
    </row>
    <row r="401" ht="15.75" customHeight="1">
      <c r="H401" s="22"/>
      <c r="P401" s="27"/>
    </row>
    <row r="402" ht="15.75" customHeight="1">
      <c r="H402" s="22"/>
      <c r="P402" s="27"/>
    </row>
    <row r="403" ht="15.75" customHeight="1">
      <c r="H403" s="22"/>
      <c r="P403" s="27"/>
    </row>
    <row r="404" ht="15.75" customHeight="1">
      <c r="H404" s="22"/>
      <c r="P404" s="27"/>
    </row>
    <row r="405" ht="15.75" customHeight="1">
      <c r="H405" s="22"/>
      <c r="P405" s="27"/>
    </row>
    <row r="406" ht="15.75" customHeight="1">
      <c r="H406" s="22"/>
      <c r="P406" s="27"/>
    </row>
    <row r="407" ht="15.75" customHeight="1">
      <c r="H407" s="22"/>
      <c r="P407" s="27"/>
    </row>
    <row r="408" ht="15.75" customHeight="1">
      <c r="H408" s="22"/>
      <c r="P408" s="27"/>
    </row>
    <row r="409" ht="15.75" customHeight="1">
      <c r="H409" s="22"/>
      <c r="P409" s="27"/>
    </row>
    <row r="410" ht="15.75" customHeight="1">
      <c r="H410" s="22"/>
      <c r="P410" s="27"/>
    </row>
    <row r="411" ht="15.75" customHeight="1">
      <c r="H411" s="22"/>
      <c r="P411" s="27"/>
    </row>
    <row r="412" ht="15.75" customHeight="1">
      <c r="H412" s="22"/>
      <c r="P412" s="27"/>
    </row>
    <row r="413" ht="15.75" customHeight="1">
      <c r="H413" s="22"/>
      <c r="P413" s="27"/>
    </row>
    <row r="414" ht="15.75" customHeight="1">
      <c r="H414" s="22"/>
      <c r="P414" s="27"/>
    </row>
    <row r="415" ht="15.75" customHeight="1">
      <c r="H415" s="22"/>
      <c r="P415" s="27"/>
    </row>
    <row r="416" ht="15.75" customHeight="1">
      <c r="H416" s="22"/>
      <c r="P416" s="27"/>
    </row>
    <row r="417" ht="15.75" customHeight="1">
      <c r="H417" s="22"/>
      <c r="P417" s="27"/>
    </row>
    <row r="418" ht="15.75" customHeight="1">
      <c r="H418" s="22"/>
      <c r="P418" s="27"/>
    </row>
    <row r="419" ht="15.75" customHeight="1">
      <c r="H419" s="22"/>
      <c r="P419" s="27"/>
    </row>
    <row r="420" ht="15.75" customHeight="1">
      <c r="H420" s="22"/>
      <c r="P420" s="27"/>
    </row>
    <row r="421" ht="15.75" customHeight="1">
      <c r="H421" s="22"/>
      <c r="P421" s="27"/>
    </row>
    <row r="422" ht="15.75" customHeight="1">
      <c r="H422" s="22"/>
      <c r="P422" s="27"/>
    </row>
    <row r="423" ht="15.75" customHeight="1">
      <c r="H423" s="22"/>
      <c r="P423" s="27"/>
    </row>
    <row r="424" ht="15.75" customHeight="1">
      <c r="H424" s="22"/>
      <c r="P424" s="27"/>
    </row>
    <row r="425" ht="15.75" customHeight="1">
      <c r="H425" s="22"/>
      <c r="P425" s="27"/>
    </row>
    <row r="426" ht="15.75" customHeight="1">
      <c r="H426" s="22"/>
      <c r="P426" s="27"/>
    </row>
    <row r="427" ht="15.75" customHeight="1">
      <c r="H427" s="22"/>
      <c r="P427" s="27"/>
    </row>
    <row r="428" ht="15.75" customHeight="1">
      <c r="H428" s="22"/>
      <c r="P428" s="27"/>
    </row>
    <row r="429" ht="15.75" customHeight="1">
      <c r="H429" s="22"/>
      <c r="P429" s="27"/>
    </row>
    <row r="430" ht="15.75" customHeight="1">
      <c r="H430" s="22"/>
      <c r="P430" s="27"/>
    </row>
    <row r="431" ht="15.75" customHeight="1">
      <c r="H431" s="22"/>
      <c r="P431" s="27"/>
    </row>
    <row r="432" ht="15.75" customHeight="1">
      <c r="H432" s="22"/>
      <c r="P432" s="27"/>
    </row>
    <row r="433" ht="15.75" customHeight="1">
      <c r="H433" s="22"/>
      <c r="P433" s="27"/>
    </row>
    <row r="434" ht="15.75" customHeight="1">
      <c r="H434" s="22"/>
      <c r="P434" s="27"/>
    </row>
    <row r="435" ht="15.75" customHeight="1">
      <c r="H435" s="22"/>
      <c r="P435" s="27"/>
    </row>
    <row r="436" ht="15.75" customHeight="1">
      <c r="H436" s="22"/>
      <c r="P436" s="27"/>
    </row>
    <row r="437" ht="15.75" customHeight="1">
      <c r="H437" s="22"/>
      <c r="P437" s="27"/>
    </row>
    <row r="438" ht="15.75" customHeight="1">
      <c r="H438" s="22"/>
      <c r="P438" s="27"/>
    </row>
    <row r="439" ht="15.75" customHeight="1">
      <c r="H439" s="22"/>
      <c r="P439" s="27"/>
    </row>
    <row r="440" ht="15.75" customHeight="1">
      <c r="H440" s="22"/>
      <c r="P440" s="27"/>
    </row>
    <row r="441" ht="15.75" customHeight="1">
      <c r="H441" s="22"/>
      <c r="P441" s="27"/>
    </row>
    <row r="442" ht="15.75" customHeight="1">
      <c r="H442" s="22"/>
      <c r="P442" s="27"/>
    </row>
    <row r="443" ht="15.75" customHeight="1">
      <c r="H443" s="22"/>
      <c r="P443" s="27"/>
    </row>
    <row r="444" ht="15.75" customHeight="1">
      <c r="H444" s="22"/>
      <c r="P444" s="27"/>
    </row>
    <row r="445" ht="15.75" customHeight="1">
      <c r="H445" s="22"/>
      <c r="P445" s="27"/>
    </row>
    <row r="446" ht="15.75" customHeight="1">
      <c r="H446" s="22"/>
      <c r="P446" s="27"/>
    </row>
    <row r="447" ht="15.75" customHeight="1">
      <c r="H447" s="22"/>
      <c r="P447" s="27"/>
    </row>
    <row r="448" ht="15.75" customHeight="1">
      <c r="H448" s="22"/>
      <c r="P448" s="27"/>
    </row>
    <row r="449" ht="15.75" customHeight="1">
      <c r="H449" s="22"/>
      <c r="P449" s="27"/>
    </row>
    <row r="450" ht="15.75" customHeight="1">
      <c r="H450" s="22"/>
      <c r="P450" s="27"/>
    </row>
    <row r="451" ht="15.75" customHeight="1">
      <c r="H451" s="22"/>
      <c r="P451" s="27"/>
    </row>
    <row r="452" ht="15.75" customHeight="1">
      <c r="H452" s="22"/>
      <c r="P452" s="27"/>
    </row>
    <row r="453" ht="15.75" customHeight="1">
      <c r="H453" s="22"/>
      <c r="P453" s="27"/>
    </row>
    <row r="454" ht="15.75" customHeight="1">
      <c r="H454" s="22"/>
      <c r="P454" s="27"/>
    </row>
    <row r="455" ht="15.75" customHeight="1">
      <c r="H455" s="22"/>
      <c r="P455" s="27"/>
    </row>
    <row r="456" ht="15.75" customHeight="1">
      <c r="H456" s="22"/>
      <c r="P456" s="27"/>
    </row>
    <row r="457" ht="15.75" customHeight="1">
      <c r="H457" s="22"/>
      <c r="P457" s="27"/>
    </row>
    <row r="458" ht="15.75" customHeight="1">
      <c r="H458" s="22"/>
      <c r="P458" s="27"/>
    </row>
    <row r="459" ht="15.75" customHeight="1">
      <c r="H459" s="22"/>
      <c r="P459" s="27"/>
    </row>
    <row r="460" ht="15.75" customHeight="1">
      <c r="H460" s="22"/>
      <c r="P460" s="27"/>
    </row>
    <row r="461" ht="15.75" customHeight="1">
      <c r="H461" s="22"/>
      <c r="P461" s="27"/>
    </row>
    <row r="462" ht="15.75" customHeight="1">
      <c r="H462" s="22"/>
      <c r="P462" s="27"/>
    </row>
    <row r="463" ht="15.75" customHeight="1">
      <c r="H463" s="22"/>
      <c r="P463" s="27"/>
    </row>
    <row r="464" ht="15.75" customHeight="1">
      <c r="H464" s="22"/>
      <c r="P464" s="27"/>
    </row>
    <row r="465" ht="15.75" customHeight="1">
      <c r="H465" s="22"/>
      <c r="P465" s="27"/>
    </row>
    <row r="466" ht="15.75" customHeight="1">
      <c r="H466" s="22"/>
      <c r="P466" s="27"/>
    </row>
    <row r="467" ht="15.75" customHeight="1">
      <c r="H467" s="22"/>
      <c r="P467" s="27"/>
    </row>
    <row r="468" ht="15.75" customHeight="1">
      <c r="H468" s="22"/>
      <c r="P468" s="27"/>
    </row>
    <row r="469" ht="15.75" customHeight="1">
      <c r="H469" s="22"/>
      <c r="P469" s="27"/>
    </row>
    <row r="470" ht="15.75" customHeight="1">
      <c r="H470" s="22"/>
      <c r="P470" s="27"/>
    </row>
    <row r="471" ht="15.75" customHeight="1">
      <c r="H471" s="22"/>
      <c r="P471" s="27"/>
    </row>
    <row r="472" ht="15.75" customHeight="1">
      <c r="H472" s="22"/>
      <c r="P472" s="27"/>
    </row>
    <row r="473" ht="15.75" customHeight="1">
      <c r="H473" s="22"/>
      <c r="P473" s="27"/>
    </row>
    <row r="474" ht="15.75" customHeight="1">
      <c r="H474" s="22"/>
      <c r="P474" s="27"/>
    </row>
    <row r="475" ht="15.75" customHeight="1">
      <c r="H475" s="22"/>
      <c r="P475" s="27"/>
    </row>
    <row r="476" ht="15.75" customHeight="1">
      <c r="H476" s="22"/>
      <c r="P476" s="27"/>
    </row>
    <row r="477" ht="15.75" customHeight="1">
      <c r="H477" s="22"/>
      <c r="P477" s="27"/>
    </row>
    <row r="478" ht="15.75" customHeight="1">
      <c r="H478" s="22"/>
      <c r="P478" s="27"/>
    </row>
    <row r="479" ht="15.75" customHeight="1">
      <c r="H479" s="22"/>
      <c r="P479" s="27"/>
    </row>
    <row r="480" ht="15.75" customHeight="1">
      <c r="H480" s="22"/>
      <c r="P480" s="27"/>
    </row>
    <row r="481" ht="15.75" customHeight="1">
      <c r="H481" s="22"/>
      <c r="P481" s="27"/>
    </row>
    <row r="482" ht="15.75" customHeight="1">
      <c r="H482" s="22"/>
      <c r="P482" s="27"/>
    </row>
    <row r="483" ht="15.75" customHeight="1">
      <c r="H483" s="22"/>
      <c r="P483" s="27"/>
    </row>
    <row r="484" ht="15.75" customHeight="1">
      <c r="H484" s="22"/>
      <c r="P484" s="27"/>
    </row>
    <row r="485" ht="15.75" customHeight="1">
      <c r="H485" s="22"/>
      <c r="P485" s="27"/>
    </row>
    <row r="486" ht="15.75" customHeight="1">
      <c r="H486" s="22"/>
      <c r="P486" s="27"/>
    </row>
    <row r="487" ht="15.75" customHeight="1">
      <c r="H487" s="22"/>
      <c r="P487" s="27"/>
    </row>
    <row r="488" ht="15.75" customHeight="1">
      <c r="H488" s="22"/>
      <c r="P488" s="27"/>
    </row>
    <row r="489" ht="15.75" customHeight="1">
      <c r="H489" s="22"/>
      <c r="P489" s="27"/>
    </row>
    <row r="490" ht="15.75" customHeight="1">
      <c r="H490" s="22"/>
      <c r="P490" s="27"/>
    </row>
    <row r="491" ht="15.75" customHeight="1">
      <c r="H491" s="22"/>
      <c r="P491" s="27"/>
    </row>
    <row r="492" ht="15.75" customHeight="1">
      <c r="H492" s="22"/>
      <c r="P492" s="27"/>
    </row>
    <row r="493" ht="15.75" customHeight="1">
      <c r="H493" s="22"/>
      <c r="P493" s="27"/>
    </row>
    <row r="494" ht="15.75" customHeight="1">
      <c r="H494" s="22"/>
      <c r="P494" s="27"/>
    </row>
    <row r="495" ht="15.75" customHeight="1">
      <c r="H495" s="22"/>
      <c r="P495" s="27"/>
    </row>
    <row r="496" ht="15.75" customHeight="1">
      <c r="H496" s="22"/>
      <c r="P496" s="27"/>
    </row>
    <row r="497" ht="15.75" customHeight="1">
      <c r="H497" s="22"/>
      <c r="P497" s="27"/>
    </row>
    <row r="498" ht="15.75" customHeight="1">
      <c r="H498" s="22"/>
      <c r="P498" s="27"/>
    </row>
    <row r="499" ht="15.75" customHeight="1">
      <c r="H499" s="22"/>
      <c r="P499" s="27"/>
    </row>
    <row r="500" ht="15.75" customHeight="1">
      <c r="H500" s="22"/>
      <c r="P500" s="27"/>
    </row>
    <row r="501" ht="15.75" customHeight="1">
      <c r="H501" s="22"/>
      <c r="P501" s="27"/>
    </row>
    <row r="502" ht="15.75" customHeight="1">
      <c r="H502" s="22"/>
      <c r="P502" s="27"/>
    </row>
    <row r="503" ht="15.75" customHeight="1">
      <c r="H503" s="22"/>
      <c r="P503" s="27"/>
    </row>
    <row r="504" ht="15.75" customHeight="1">
      <c r="H504" s="22"/>
      <c r="P504" s="27"/>
    </row>
    <row r="505" ht="15.75" customHeight="1">
      <c r="H505" s="22"/>
      <c r="P505" s="27"/>
    </row>
    <row r="506" ht="15.75" customHeight="1">
      <c r="H506" s="22"/>
      <c r="P506" s="27"/>
    </row>
    <row r="507" ht="15.75" customHeight="1">
      <c r="H507" s="22"/>
      <c r="P507" s="27"/>
    </row>
    <row r="508" ht="15.75" customHeight="1">
      <c r="H508" s="22"/>
      <c r="P508" s="27"/>
    </row>
    <row r="509" ht="15.75" customHeight="1">
      <c r="H509" s="22"/>
      <c r="P509" s="27"/>
    </row>
    <row r="510" ht="15.75" customHeight="1">
      <c r="H510" s="22"/>
      <c r="P510" s="27"/>
    </row>
    <row r="511" ht="15.75" customHeight="1">
      <c r="H511" s="22"/>
      <c r="P511" s="27"/>
    </row>
    <row r="512" ht="15.75" customHeight="1">
      <c r="H512" s="22"/>
      <c r="P512" s="27"/>
    </row>
    <row r="513" ht="15.75" customHeight="1">
      <c r="H513" s="22"/>
      <c r="P513" s="27"/>
    </row>
    <row r="514" ht="15.75" customHeight="1">
      <c r="H514" s="22"/>
      <c r="P514" s="27"/>
    </row>
    <row r="515" ht="15.75" customHeight="1">
      <c r="H515" s="22"/>
      <c r="P515" s="27"/>
    </row>
    <row r="516" ht="15.75" customHeight="1">
      <c r="H516" s="22"/>
      <c r="P516" s="27"/>
    </row>
    <row r="517" ht="15.75" customHeight="1">
      <c r="H517" s="22"/>
      <c r="P517" s="27"/>
    </row>
    <row r="518" ht="15.75" customHeight="1">
      <c r="H518" s="22"/>
      <c r="P518" s="27"/>
    </row>
    <row r="519" ht="15.75" customHeight="1">
      <c r="H519" s="22"/>
      <c r="P519" s="27"/>
    </row>
    <row r="520" ht="15.75" customHeight="1">
      <c r="H520" s="22"/>
      <c r="P520" s="27"/>
    </row>
    <row r="521" ht="15.75" customHeight="1">
      <c r="H521" s="22"/>
      <c r="P521" s="27"/>
    </row>
    <row r="522" ht="15.75" customHeight="1">
      <c r="H522" s="22"/>
      <c r="P522" s="27"/>
    </row>
    <row r="523" ht="15.75" customHeight="1">
      <c r="H523" s="22"/>
      <c r="P523" s="27"/>
    </row>
    <row r="524" ht="15.75" customHeight="1">
      <c r="H524" s="22"/>
      <c r="P524" s="27"/>
    </row>
    <row r="525" ht="15.75" customHeight="1">
      <c r="H525" s="22"/>
      <c r="P525" s="27"/>
    </row>
    <row r="526" ht="15.75" customHeight="1">
      <c r="H526" s="22"/>
      <c r="P526" s="27"/>
    </row>
    <row r="527" ht="15.75" customHeight="1">
      <c r="H527" s="22"/>
      <c r="P527" s="27"/>
    </row>
    <row r="528" ht="15.75" customHeight="1">
      <c r="H528" s="22"/>
      <c r="P528" s="27"/>
    </row>
    <row r="529" ht="15.75" customHeight="1">
      <c r="H529" s="22"/>
      <c r="P529" s="27"/>
    </row>
    <row r="530" ht="15.75" customHeight="1">
      <c r="H530" s="22"/>
      <c r="P530" s="27"/>
    </row>
    <row r="531" ht="15.75" customHeight="1">
      <c r="H531" s="22"/>
      <c r="P531" s="27"/>
    </row>
    <row r="532" ht="15.75" customHeight="1">
      <c r="H532" s="22"/>
      <c r="P532" s="27"/>
    </row>
    <row r="533" ht="15.75" customHeight="1">
      <c r="H533" s="22"/>
      <c r="P533" s="27"/>
    </row>
    <row r="534" ht="15.75" customHeight="1">
      <c r="H534" s="22"/>
      <c r="P534" s="27"/>
    </row>
    <row r="535" ht="15.75" customHeight="1">
      <c r="H535" s="22"/>
      <c r="P535" s="27"/>
    </row>
    <row r="536" ht="15.75" customHeight="1">
      <c r="H536" s="22"/>
      <c r="P536" s="27"/>
    </row>
    <row r="537" ht="15.75" customHeight="1">
      <c r="H537" s="22"/>
      <c r="P537" s="27"/>
    </row>
    <row r="538" ht="15.75" customHeight="1">
      <c r="H538" s="22"/>
      <c r="P538" s="27"/>
    </row>
    <row r="539" ht="15.75" customHeight="1">
      <c r="H539" s="22"/>
      <c r="P539" s="27"/>
    </row>
    <row r="540" ht="15.75" customHeight="1">
      <c r="H540" s="22"/>
      <c r="P540" s="27"/>
    </row>
    <row r="541" ht="15.75" customHeight="1">
      <c r="H541" s="22"/>
      <c r="P541" s="27"/>
    </row>
    <row r="542" ht="15.75" customHeight="1">
      <c r="H542" s="22"/>
      <c r="P542" s="27"/>
    </row>
    <row r="543" ht="15.75" customHeight="1">
      <c r="H543" s="22"/>
      <c r="P543" s="27"/>
    </row>
    <row r="544" ht="15.75" customHeight="1">
      <c r="H544" s="22"/>
      <c r="P544" s="27"/>
    </row>
    <row r="545" ht="15.75" customHeight="1">
      <c r="H545" s="22"/>
      <c r="P545" s="27"/>
    </row>
    <row r="546" ht="15.75" customHeight="1">
      <c r="H546" s="22"/>
      <c r="P546" s="27"/>
    </row>
    <row r="547" ht="15.75" customHeight="1">
      <c r="H547" s="22"/>
      <c r="P547" s="27"/>
    </row>
    <row r="548" ht="15.75" customHeight="1">
      <c r="H548" s="22"/>
      <c r="P548" s="27"/>
    </row>
    <row r="549" ht="15.75" customHeight="1">
      <c r="H549" s="22"/>
      <c r="P549" s="27"/>
    </row>
    <row r="550" ht="15.75" customHeight="1">
      <c r="H550" s="22"/>
      <c r="P550" s="27"/>
    </row>
    <row r="551" ht="15.75" customHeight="1">
      <c r="H551" s="22"/>
      <c r="P551" s="27"/>
    </row>
    <row r="552" ht="15.75" customHeight="1">
      <c r="H552" s="22"/>
      <c r="P552" s="27"/>
    </row>
    <row r="553" ht="15.75" customHeight="1">
      <c r="H553" s="22"/>
      <c r="P553" s="27"/>
    </row>
    <row r="554" ht="15.75" customHeight="1">
      <c r="H554" s="22"/>
      <c r="P554" s="27"/>
    </row>
    <row r="555" ht="15.75" customHeight="1">
      <c r="H555" s="22"/>
      <c r="P555" s="27"/>
    </row>
    <row r="556" ht="15.75" customHeight="1">
      <c r="H556" s="22"/>
      <c r="P556" s="27"/>
    </row>
    <row r="557" ht="15.75" customHeight="1">
      <c r="H557" s="22"/>
      <c r="P557" s="27"/>
    </row>
    <row r="558" ht="15.75" customHeight="1">
      <c r="H558" s="22"/>
      <c r="P558" s="27"/>
    </row>
    <row r="559" ht="15.75" customHeight="1">
      <c r="H559" s="22"/>
      <c r="P559" s="27"/>
    </row>
    <row r="560" ht="15.75" customHeight="1">
      <c r="H560" s="22"/>
      <c r="P560" s="27"/>
    </row>
    <row r="561" ht="15.75" customHeight="1">
      <c r="H561" s="22"/>
      <c r="P561" s="27"/>
    </row>
    <row r="562" ht="15.75" customHeight="1">
      <c r="H562" s="22"/>
      <c r="P562" s="27"/>
    </row>
    <row r="563" ht="15.75" customHeight="1">
      <c r="H563" s="22"/>
      <c r="P563" s="27"/>
    </row>
    <row r="564" ht="15.75" customHeight="1">
      <c r="H564" s="22"/>
      <c r="P564" s="27"/>
    </row>
    <row r="565" ht="15.75" customHeight="1">
      <c r="H565" s="22"/>
      <c r="P565" s="27"/>
    </row>
    <row r="566" ht="15.75" customHeight="1">
      <c r="H566" s="22"/>
      <c r="P566" s="27"/>
    </row>
    <row r="567" ht="15.75" customHeight="1">
      <c r="H567" s="22"/>
      <c r="P567" s="27"/>
    </row>
    <row r="568" ht="15.75" customHeight="1">
      <c r="H568" s="22"/>
      <c r="P568" s="27"/>
    </row>
    <row r="569" ht="15.75" customHeight="1">
      <c r="H569" s="22"/>
      <c r="P569" s="27"/>
    </row>
    <row r="570" ht="15.75" customHeight="1">
      <c r="H570" s="22"/>
      <c r="P570" s="27"/>
    </row>
    <row r="571" ht="15.75" customHeight="1">
      <c r="H571" s="22"/>
      <c r="P571" s="27"/>
    </row>
    <row r="572" ht="15.75" customHeight="1">
      <c r="H572" s="22"/>
      <c r="P572" s="27"/>
    </row>
    <row r="573" ht="15.75" customHeight="1">
      <c r="H573" s="22"/>
      <c r="P573" s="27"/>
    </row>
    <row r="574" ht="15.75" customHeight="1">
      <c r="H574" s="22"/>
      <c r="P574" s="27"/>
    </row>
    <row r="575" ht="15.75" customHeight="1">
      <c r="H575" s="22"/>
      <c r="P575" s="27"/>
    </row>
    <row r="576" ht="15.75" customHeight="1">
      <c r="H576" s="22"/>
      <c r="P576" s="27"/>
    </row>
    <row r="577" ht="15.75" customHeight="1">
      <c r="H577" s="22"/>
      <c r="P577" s="27"/>
    </row>
    <row r="578" ht="15.75" customHeight="1">
      <c r="H578" s="22"/>
      <c r="P578" s="27"/>
    </row>
    <row r="579" ht="15.75" customHeight="1">
      <c r="H579" s="22"/>
      <c r="P579" s="27"/>
    </row>
    <row r="580" ht="15.75" customHeight="1">
      <c r="H580" s="22"/>
      <c r="P580" s="27"/>
    </row>
    <row r="581" ht="15.75" customHeight="1">
      <c r="H581" s="22"/>
      <c r="P581" s="27"/>
    </row>
    <row r="582" ht="15.75" customHeight="1">
      <c r="H582" s="22"/>
      <c r="P582" s="27"/>
    </row>
    <row r="583" ht="15.75" customHeight="1">
      <c r="H583" s="22"/>
      <c r="P583" s="27"/>
    </row>
    <row r="584" ht="15.75" customHeight="1">
      <c r="H584" s="22"/>
      <c r="P584" s="27"/>
    </row>
    <row r="585" ht="15.75" customHeight="1">
      <c r="H585" s="22"/>
      <c r="P585" s="27"/>
    </row>
    <row r="586" ht="15.75" customHeight="1">
      <c r="H586" s="22"/>
      <c r="P586" s="27"/>
    </row>
    <row r="587" ht="15.75" customHeight="1">
      <c r="H587" s="22"/>
      <c r="P587" s="27"/>
    </row>
    <row r="588" ht="15.75" customHeight="1">
      <c r="H588" s="22"/>
      <c r="P588" s="27"/>
    </row>
    <row r="589" ht="15.75" customHeight="1">
      <c r="H589" s="22"/>
      <c r="P589" s="27"/>
    </row>
    <row r="590" ht="15.75" customHeight="1">
      <c r="H590" s="22"/>
      <c r="P590" s="27"/>
    </row>
    <row r="591" ht="15.75" customHeight="1">
      <c r="H591" s="22"/>
      <c r="P591" s="27"/>
    </row>
    <row r="592" ht="15.75" customHeight="1">
      <c r="H592" s="22"/>
      <c r="P592" s="27"/>
    </row>
    <row r="593" ht="15.75" customHeight="1">
      <c r="H593" s="22"/>
      <c r="P593" s="27"/>
    </row>
    <row r="594" ht="15.75" customHeight="1">
      <c r="H594" s="22"/>
      <c r="P594" s="27"/>
    </row>
    <row r="595" ht="15.75" customHeight="1">
      <c r="H595" s="22"/>
      <c r="P595" s="27"/>
    </row>
    <row r="596" ht="15.75" customHeight="1">
      <c r="H596" s="22"/>
      <c r="P596" s="27"/>
    </row>
    <row r="597" ht="15.75" customHeight="1">
      <c r="H597" s="22"/>
      <c r="P597" s="27"/>
    </row>
    <row r="598" ht="15.75" customHeight="1">
      <c r="H598" s="22"/>
      <c r="P598" s="27"/>
    </row>
    <row r="599" ht="15.75" customHeight="1">
      <c r="H599" s="22"/>
      <c r="P599" s="27"/>
    </row>
    <row r="600" ht="15.75" customHeight="1">
      <c r="H600" s="22"/>
      <c r="P600" s="27"/>
    </row>
    <row r="601" ht="15.75" customHeight="1">
      <c r="H601" s="22"/>
      <c r="P601" s="27"/>
    </row>
    <row r="602" ht="15.75" customHeight="1">
      <c r="H602" s="22"/>
      <c r="P602" s="27"/>
    </row>
    <row r="603" ht="15.75" customHeight="1">
      <c r="H603" s="22"/>
      <c r="P603" s="27"/>
    </row>
    <row r="604" ht="15.75" customHeight="1">
      <c r="H604" s="22"/>
      <c r="P604" s="27"/>
    </row>
    <row r="605" ht="15.75" customHeight="1">
      <c r="H605" s="22"/>
      <c r="P605" s="27"/>
    </row>
    <row r="606" ht="15.75" customHeight="1">
      <c r="H606" s="22"/>
      <c r="P606" s="27"/>
    </row>
    <row r="607" ht="15.75" customHeight="1">
      <c r="H607" s="22"/>
      <c r="P607" s="27"/>
    </row>
    <row r="608" ht="15.75" customHeight="1">
      <c r="H608" s="22"/>
      <c r="P608" s="27"/>
    </row>
    <row r="609" ht="15.75" customHeight="1">
      <c r="H609" s="22"/>
      <c r="P609" s="27"/>
    </row>
    <row r="610" ht="15.75" customHeight="1">
      <c r="H610" s="22"/>
      <c r="P610" s="27"/>
    </row>
    <row r="611" ht="15.75" customHeight="1">
      <c r="H611" s="22"/>
      <c r="P611" s="27"/>
    </row>
    <row r="612" ht="15.75" customHeight="1">
      <c r="H612" s="22"/>
      <c r="P612" s="27"/>
    </row>
    <row r="613" ht="15.75" customHeight="1">
      <c r="H613" s="22"/>
      <c r="P613" s="27"/>
    </row>
    <row r="614" ht="15.75" customHeight="1">
      <c r="H614" s="22"/>
      <c r="P614" s="27"/>
    </row>
    <row r="615" ht="15.75" customHeight="1">
      <c r="H615" s="22"/>
      <c r="P615" s="27"/>
    </row>
    <row r="616" ht="15.75" customHeight="1">
      <c r="H616" s="22"/>
      <c r="P616" s="27"/>
    </row>
    <row r="617" ht="15.75" customHeight="1">
      <c r="H617" s="22"/>
      <c r="P617" s="27"/>
    </row>
    <row r="618" ht="15.75" customHeight="1">
      <c r="H618" s="22"/>
      <c r="P618" s="27"/>
    </row>
    <row r="619" ht="15.75" customHeight="1">
      <c r="H619" s="22"/>
      <c r="P619" s="27"/>
    </row>
    <row r="620" ht="15.75" customHeight="1">
      <c r="H620" s="22"/>
      <c r="P620" s="27"/>
    </row>
    <row r="621" ht="15.75" customHeight="1">
      <c r="H621" s="22"/>
      <c r="P621" s="27"/>
    </row>
    <row r="622" ht="15.75" customHeight="1">
      <c r="H622" s="22"/>
      <c r="P622" s="27"/>
    </row>
    <row r="623" ht="15.75" customHeight="1">
      <c r="H623" s="22"/>
      <c r="P623" s="27"/>
    </row>
    <row r="624" ht="15.75" customHeight="1">
      <c r="H624" s="22"/>
      <c r="P624" s="27"/>
    </row>
    <row r="625" ht="15.75" customHeight="1">
      <c r="H625" s="22"/>
      <c r="P625" s="27"/>
    </row>
    <row r="626" ht="15.75" customHeight="1">
      <c r="H626" s="22"/>
      <c r="P626" s="27"/>
    </row>
    <row r="627" ht="15.75" customHeight="1">
      <c r="H627" s="22"/>
      <c r="P627" s="27"/>
    </row>
    <row r="628" ht="15.75" customHeight="1">
      <c r="H628" s="22"/>
      <c r="P628" s="27"/>
    </row>
    <row r="629" ht="15.75" customHeight="1">
      <c r="H629" s="22"/>
      <c r="P629" s="27"/>
    </row>
    <row r="630" ht="15.75" customHeight="1">
      <c r="H630" s="22"/>
      <c r="P630" s="27"/>
    </row>
    <row r="631" ht="15.75" customHeight="1">
      <c r="H631" s="22"/>
      <c r="P631" s="27"/>
    </row>
    <row r="632" ht="15.75" customHeight="1">
      <c r="H632" s="22"/>
      <c r="P632" s="27"/>
    </row>
    <row r="633" ht="15.75" customHeight="1">
      <c r="H633" s="22"/>
      <c r="P633" s="27"/>
    </row>
    <row r="634" ht="15.75" customHeight="1">
      <c r="H634" s="22"/>
      <c r="P634" s="27"/>
    </row>
    <row r="635" ht="15.75" customHeight="1">
      <c r="H635" s="22"/>
      <c r="P635" s="27"/>
    </row>
    <row r="636" ht="15.75" customHeight="1">
      <c r="H636" s="22"/>
      <c r="P636" s="27"/>
    </row>
    <row r="637" ht="15.75" customHeight="1">
      <c r="H637" s="22"/>
      <c r="P637" s="27"/>
    </row>
    <row r="638" ht="15.75" customHeight="1">
      <c r="H638" s="22"/>
      <c r="P638" s="27"/>
    </row>
    <row r="639" ht="15.75" customHeight="1">
      <c r="H639" s="22"/>
      <c r="P639" s="27"/>
    </row>
    <row r="640" ht="15.75" customHeight="1">
      <c r="H640" s="22"/>
      <c r="P640" s="27"/>
    </row>
    <row r="641" ht="15.75" customHeight="1">
      <c r="H641" s="22"/>
      <c r="P641" s="27"/>
    </row>
    <row r="642" ht="15.75" customHeight="1">
      <c r="H642" s="22"/>
      <c r="P642" s="27"/>
    </row>
    <row r="643" ht="15.75" customHeight="1">
      <c r="H643" s="22"/>
      <c r="P643" s="27"/>
    </row>
    <row r="644" ht="15.75" customHeight="1">
      <c r="H644" s="22"/>
      <c r="P644" s="27"/>
    </row>
    <row r="645" ht="15.75" customHeight="1">
      <c r="H645" s="22"/>
      <c r="P645" s="27"/>
    </row>
    <row r="646" ht="15.75" customHeight="1">
      <c r="H646" s="22"/>
      <c r="P646" s="27"/>
    </row>
    <row r="647" ht="15.75" customHeight="1">
      <c r="H647" s="22"/>
      <c r="P647" s="27"/>
    </row>
    <row r="648" ht="15.75" customHeight="1">
      <c r="H648" s="22"/>
      <c r="P648" s="27"/>
    </row>
    <row r="649" ht="15.75" customHeight="1">
      <c r="H649" s="22"/>
      <c r="P649" s="27"/>
    </row>
    <row r="650" ht="15.75" customHeight="1">
      <c r="H650" s="22"/>
      <c r="P650" s="27"/>
    </row>
    <row r="651" ht="15.75" customHeight="1">
      <c r="H651" s="22"/>
      <c r="P651" s="27"/>
    </row>
    <row r="652" ht="15.75" customHeight="1">
      <c r="H652" s="22"/>
      <c r="P652" s="27"/>
    </row>
    <row r="653" ht="15.75" customHeight="1">
      <c r="H653" s="22"/>
      <c r="P653" s="27"/>
    </row>
    <row r="654" ht="15.75" customHeight="1">
      <c r="H654" s="22"/>
      <c r="P654" s="27"/>
    </row>
    <row r="655" ht="15.75" customHeight="1">
      <c r="H655" s="22"/>
      <c r="P655" s="27"/>
    </row>
    <row r="656" ht="15.75" customHeight="1">
      <c r="H656" s="22"/>
      <c r="P656" s="27"/>
    </row>
    <row r="657" ht="15.75" customHeight="1">
      <c r="H657" s="22"/>
      <c r="P657" s="27"/>
    </row>
    <row r="658" ht="15.75" customHeight="1">
      <c r="H658" s="22"/>
      <c r="P658" s="27"/>
    </row>
    <row r="659" ht="15.75" customHeight="1">
      <c r="H659" s="22"/>
      <c r="P659" s="27"/>
    </row>
    <row r="660" ht="15.75" customHeight="1">
      <c r="H660" s="22"/>
      <c r="P660" s="27"/>
    </row>
    <row r="661" ht="15.75" customHeight="1">
      <c r="H661" s="22"/>
      <c r="P661" s="27"/>
    </row>
    <row r="662" ht="15.75" customHeight="1">
      <c r="H662" s="22"/>
      <c r="P662" s="27"/>
    </row>
    <row r="663" ht="15.75" customHeight="1">
      <c r="H663" s="22"/>
      <c r="P663" s="27"/>
    </row>
    <row r="664" ht="15.75" customHeight="1">
      <c r="H664" s="22"/>
      <c r="P664" s="27"/>
    </row>
    <row r="665" ht="15.75" customHeight="1">
      <c r="H665" s="22"/>
      <c r="P665" s="27"/>
    </row>
    <row r="666" ht="15.75" customHeight="1">
      <c r="H666" s="22"/>
      <c r="P666" s="27"/>
    </row>
    <row r="667" ht="15.75" customHeight="1">
      <c r="H667" s="22"/>
      <c r="P667" s="27"/>
    </row>
    <row r="668" ht="15.75" customHeight="1">
      <c r="H668" s="22"/>
      <c r="P668" s="27"/>
    </row>
    <row r="669" ht="15.75" customHeight="1">
      <c r="H669" s="22"/>
      <c r="P669" s="27"/>
    </row>
    <row r="670" ht="15.75" customHeight="1">
      <c r="H670" s="22"/>
      <c r="P670" s="27"/>
    </row>
    <row r="671" ht="15.75" customHeight="1">
      <c r="H671" s="22"/>
      <c r="P671" s="27"/>
    </row>
    <row r="672" ht="15.75" customHeight="1">
      <c r="H672" s="22"/>
      <c r="P672" s="27"/>
    </row>
    <row r="673" ht="15.75" customHeight="1">
      <c r="H673" s="22"/>
      <c r="P673" s="27"/>
    </row>
    <row r="674" ht="15.75" customHeight="1">
      <c r="H674" s="22"/>
      <c r="P674" s="27"/>
    </row>
    <row r="675" ht="15.75" customHeight="1">
      <c r="H675" s="22"/>
      <c r="P675" s="27"/>
    </row>
    <row r="676" ht="15.75" customHeight="1">
      <c r="H676" s="22"/>
      <c r="P676" s="27"/>
    </row>
    <row r="677" ht="15.75" customHeight="1">
      <c r="H677" s="22"/>
      <c r="P677" s="27"/>
    </row>
    <row r="678" ht="15.75" customHeight="1">
      <c r="H678" s="22"/>
      <c r="P678" s="27"/>
    </row>
    <row r="679" ht="15.75" customHeight="1">
      <c r="H679" s="22"/>
      <c r="P679" s="27"/>
    </row>
    <row r="680" ht="15.75" customHeight="1">
      <c r="H680" s="22"/>
      <c r="P680" s="27"/>
    </row>
    <row r="681" ht="15.75" customHeight="1">
      <c r="H681" s="22"/>
      <c r="P681" s="27"/>
    </row>
    <row r="682" ht="15.75" customHeight="1">
      <c r="H682" s="22"/>
      <c r="P682" s="27"/>
    </row>
    <row r="683" ht="15.75" customHeight="1">
      <c r="H683" s="22"/>
      <c r="P683" s="27"/>
    </row>
    <row r="684" ht="15.75" customHeight="1">
      <c r="H684" s="22"/>
      <c r="P684" s="27"/>
    </row>
    <row r="685" ht="15.75" customHeight="1">
      <c r="H685" s="22"/>
      <c r="P685" s="27"/>
    </row>
    <row r="686" ht="15.75" customHeight="1">
      <c r="H686" s="22"/>
      <c r="P686" s="27"/>
    </row>
    <row r="687" ht="15.75" customHeight="1">
      <c r="H687" s="22"/>
      <c r="P687" s="27"/>
    </row>
    <row r="688" ht="15.75" customHeight="1">
      <c r="H688" s="22"/>
      <c r="P688" s="27"/>
    </row>
    <row r="689" ht="15.75" customHeight="1">
      <c r="H689" s="22"/>
      <c r="P689" s="27"/>
    </row>
    <row r="690" ht="15.75" customHeight="1">
      <c r="H690" s="22"/>
      <c r="P690" s="27"/>
    </row>
    <row r="691" ht="15.75" customHeight="1">
      <c r="H691" s="22"/>
      <c r="P691" s="27"/>
    </row>
    <row r="692" ht="15.75" customHeight="1">
      <c r="H692" s="22"/>
      <c r="P692" s="27"/>
    </row>
    <row r="693" ht="15.75" customHeight="1">
      <c r="H693" s="22"/>
      <c r="P693" s="27"/>
    </row>
    <row r="694" ht="15.75" customHeight="1">
      <c r="H694" s="22"/>
      <c r="P694" s="27"/>
    </row>
    <row r="695" ht="15.75" customHeight="1">
      <c r="H695" s="22"/>
      <c r="P695" s="27"/>
    </row>
    <row r="696" ht="15.75" customHeight="1">
      <c r="H696" s="22"/>
      <c r="P696" s="27"/>
    </row>
    <row r="697" ht="15.75" customHeight="1">
      <c r="H697" s="22"/>
      <c r="P697" s="27"/>
    </row>
    <row r="698" ht="15.75" customHeight="1">
      <c r="H698" s="22"/>
      <c r="P698" s="27"/>
    </row>
    <row r="699" ht="15.75" customHeight="1">
      <c r="H699" s="22"/>
      <c r="P699" s="27"/>
    </row>
    <row r="700" ht="15.75" customHeight="1">
      <c r="H700" s="22"/>
      <c r="P700" s="27"/>
    </row>
    <row r="701" ht="15.75" customHeight="1">
      <c r="H701" s="22"/>
      <c r="P701" s="27"/>
    </row>
    <row r="702" ht="15.75" customHeight="1">
      <c r="H702" s="22"/>
      <c r="P702" s="27"/>
    </row>
    <row r="703" ht="15.75" customHeight="1">
      <c r="H703" s="22"/>
      <c r="P703" s="27"/>
    </row>
    <row r="704" ht="15.75" customHeight="1">
      <c r="H704" s="22"/>
      <c r="P704" s="27"/>
    </row>
    <row r="705" ht="15.75" customHeight="1">
      <c r="H705" s="22"/>
      <c r="P705" s="27"/>
    </row>
    <row r="706" ht="15.75" customHeight="1">
      <c r="H706" s="22"/>
      <c r="P706" s="27"/>
    </row>
    <row r="707" ht="15.75" customHeight="1">
      <c r="H707" s="22"/>
      <c r="P707" s="27"/>
    </row>
    <row r="708" ht="15.75" customHeight="1">
      <c r="H708" s="22"/>
      <c r="P708" s="27"/>
    </row>
    <row r="709" ht="15.75" customHeight="1">
      <c r="H709" s="22"/>
      <c r="P709" s="27"/>
    </row>
    <row r="710" ht="15.75" customHeight="1">
      <c r="H710" s="22"/>
      <c r="P710" s="27"/>
    </row>
    <row r="711" ht="15.75" customHeight="1">
      <c r="H711" s="22"/>
      <c r="P711" s="27"/>
    </row>
    <row r="712" ht="15.75" customHeight="1">
      <c r="H712" s="22"/>
      <c r="P712" s="27"/>
    </row>
    <row r="713" ht="15.75" customHeight="1">
      <c r="H713" s="22"/>
      <c r="P713" s="27"/>
    </row>
    <row r="714" ht="15.75" customHeight="1">
      <c r="H714" s="22"/>
      <c r="P714" s="27"/>
    </row>
    <row r="715" ht="15.75" customHeight="1">
      <c r="H715" s="22"/>
      <c r="P715" s="27"/>
    </row>
    <row r="716" ht="15.75" customHeight="1">
      <c r="H716" s="22"/>
      <c r="P716" s="27"/>
    </row>
    <row r="717" ht="15.75" customHeight="1">
      <c r="H717" s="22"/>
      <c r="P717" s="27"/>
    </row>
    <row r="718" ht="15.75" customHeight="1">
      <c r="H718" s="22"/>
      <c r="P718" s="27"/>
    </row>
    <row r="719" ht="15.75" customHeight="1">
      <c r="H719" s="22"/>
      <c r="P719" s="27"/>
    </row>
    <row r="720" ht="15.75" customHeight="1">
      <c r="H720" s="22"/>
      <c r="P720" s="27"/>
    </row>
    <row r="721" ht="15.75" customHeight="1">
      <c r="H721" s="22"/>
      <c r="P721" s="27"/>
    </row>
    <row r="722" ht="15.75" customHeight="1">
      <c r="H722" s="22"/>
      <c r="P722" s="27"/>
    </row>
    <row r="723" ht="15.75" customHeight="1">
      <c r="H723" s="22"/>
      <c r="P723" s="27"/>
    </row>
    <row r="724" ht="15.75" customHeight="1">
      <c r="H724" s="22"/>
      <c r="P724" s="27"/>
    </row>
    <row r="725" ht="15.75" customHeight="1">
      <c r="H725" s="22"/>
      <c r="P725" s="27"/>
    </row>
    <row r="726" ht="15.75" customHeight="1">
      <c r="H726" s="22"/>
      <c r="P726" s="27"/>
    </row>
    <row r="727" ht="15.75" customHeight="1">
      <c r="H727" s="22"/>
      <c r="P727" s="27"/>
    </row>
    <row r="728" ht="15.75" customHeight="1">
      <c r="H728" s="22"/>
      <c r="P728" s="27"/>
    </row>
    <row r="729" ht="15.75" customHeight="1">
      <c r="H729" s="22"/>
      <c r="P729" s="27"/>
    </row>
    <row r="730" ht="15.75" customHeight="1">
      <c r="H730" s="22"/>
      <c r="P730" s="27"/>
    </row>
    <row r="731" ht="15.75" customHeight="1">
      <c r="H731" s="22"/>
      <c r="P731" s="27"/>
    </row>
    <row r="732" ht="15.75" customHeight="1">
      <c r="H732" s="22"/>
      <c r="P732" s="27"/>
    </row>
    <row r="733" ht="15.75" customHeight="1">
      <c r="H733" s="22"/>
      <c r="P733" s="27"/>
    </row>
    <row r="734" ht="15.75" customHeight="1">
      <c r="H734" s="22"/>
      <c r="P734" s="27"/>
    </row>
    <row r="735" ht="15.75" customHeight="1">
      <c r="H735" s="22"/>
      <c r="P735" s="27"/>
    </row>
    <row r="736" ht="15.75" customHeight="1">
      <c r="H736" s="22"/>
      <c r="P736" s="27"/>
    </row>
    <row r="737" ht="15.75" customHeight="1">
      <c r="H737" s="22"/>
      <c r="P737" s="27"/>
    </row>
    <row r="738" ht="15.75" customHeight="1">
      <c r="H738" s="22"/>
      <c r="P738" s="27"/>
    </row>
    <row r="739" ht="15.75" customHeight="1">
      <c r="H739" s="22"/>
      <c r="P739" s="27"/>
    </row>
    <row r="740" ht="15.75" customHeight="1">
      <c r="H740" s="22"/>
      <c r="P740" s="27"/>
    </row>
    <row r="741" ht="15.75" customHeight="1">
      <c r="H741" s="22"/>
      <c r="P741" s="27"/>
    </row>
    <row r="742" ht="15.75" customHeight="1">
      <c r="H742" s="22"/>
      <c r="P742" s="27"/>
    </row>
    <row r="743" ht="15.75" customHeight="1">
      <c r="H743" s="22"/>
      <c r="P743" s="27"/>
    </row>
    <row r="744" ht="15.75" customHeight="1">
      <c r="H744" s="22"/>
      <c r="P744" s="27"/>
    </row>
    <row r="745" ht="15.75" customHeight="1">
      <c r="H745" s="22"/>
      <c r="P745" s="27"/>
    </row>
    <row r="746" ht="15.75" customHeight="1">
      <c r="H746" s="22"/>
      <c r="P746" s="27"/>
    </row>
    <row r="747" ht="15.75" customHeight="1">
      <c r="H747" s="22"/>
      <c r="P747" s="27"/>
    </row>
    <row r="748" ht="15.75" customHeight="1">
      <c r="H748" s="22"/>
      <c r="P748" s="27"/>
    </row>
    <row r="749" ht="15.75" customHeight="1">
      <c r="H749" s="22"/>
      <c r="P749" s="27"/>
    </row>
    <row r="750" ht="15.75" customHeight="1">
      <c r="H750" s="22"/>
      <c r="P750" s="27"/>
    </row>
    <row r="751" ht="15.75" customHeight="1">
      <c r="H751" s="22"/>
      <c r="P751" s="27"/>
    </row>
    <row r="752" ht="15.75" customHeight="1">
      <c r="H752" s="22"/>
      <c r="P752" s="27"/>
    </row>
    <row r="753" ht="15.75" customHeight="1">
      <c r="H753" s="22"/>
      <c r="P753" s="27"/>
    </row>
    <row r="754" ht="15.75" customHeight="1">
      <c r="H754" s="22"/>
      <c r="P754" s="27"/>
    </row>
    <row r="755" ht="15.75" customHeight="1">
      <c r="H755" s="22"/>
      <c r="P755" s="27"/>
    </row>
    <row r="756" ht="15.75" customHeight="1">
      <c r="H756" s="22"/>
      <c r="P756" s="27"/>
    </row>
    <row r="757" ht="15.75" customHeight="1">
      <c r="H757" s="22"/>
      <c r="P757" s="27"/>
    </row>
    <row r="758" ht="15.75" customHeight="1">
      <c r="H758" s="22"/>
      <c r="P758" s="27"/>
    </row>
    <row r="759" ht="15.75" customHeight="1">
      <c r="H759" s="22"/>
      <c r="P759" s="27"/>
    </row>
    <row r="760" ht="15.75" customHeight="1">
      <c r="H760" s="22"/>
      <c r="P760" s="27"/>
    </row>
    <row r="761" ht="15.75" customHeight="1">
      <c r="H761" s="22"/>
      <c r="P761" s="27"/>
    </row>
    <row r="762" ht="15.75" customHeight="1">
      <c r="H762" s="22"/>
      <c r="P762" s="27"/>
    </row>
    <row r="763" ht="15.75" customHeight="1">
      <c r="H763" s="22"/>
      <c r="P763" s="27"/>
    </row>
    <row r="764" ht="15.75" customHeight="1">
      <c r="H764" s="22"/>
      <c r="P764" s="27"/>
    </row>
    <row r="765" ht="15.75" customHeight="1">
      <c r="H765" s="22"/>
      <c r="P765" s="27"/>
    </row>
    <row r="766" ht="15.75" customHeight="1">
      <c r="H766" s="22"/>
      <c r="P766" s="27"/>
    </row>
    <row r="767" ht="15.75" customHeight="1">
      <c r="H767" s="22"/>
      <c r="P767" s="27"/>
    </row>
    <row r="768" ht="15.75" customHeight="1">
      <c r="H768" s="22"/>
      <c r="P768" s="27"/>
    </row>
    <row r="769" ht="15.75" customHeight="1">
      <c r="H769" s="22"/>
      <c r="P769" s="27"/>
    </row>
    <row r="770" ht="15.75" customHeight="1">
      <c r="H770" s="22"/>
      <c r="P770" s="27"/>
    </row>
    <row r="771" ht="15.75" customHeight="1">
      <c r="H771" s="22"/>
      <c r="P771" s="27"/>
    </row>
    <row r="772" ht="15.75" customHeight="1">
      <c r="H772" s="22"/>
      <c r="P772" s="27"/>
    </row>
    <row r="773" ht="15.75" customHeight="1">
      <c r="H773" s="22"/>
      <c r="P773" s="27"/>
    </row>
    <row r="774" ht="15.75" customHeight="1">
      <c r="H774" s="22"/>
      <c r="P774" s="27"/>
    </row>
    <row r="775" ht="15.75" customHeight="1">
      <c r="H775" s="22"/>
      <c r="P775" s="27"/>
    </row>
    <row r="776" ht="15.75" customHeight="1">
      <c r="H776" s="22"/>
      <c r="P776" s="27"/>
    </row>
    <row r="777" ht="15.75" customHeight="1">
      <c r="H777" s="22"/>
      <c r="P777" s="27"/>
    </row>
    <row r="778" ht="15.75" customHeight="1">
      <c r="H778" s="22"/>
      <c r="P778" s="27"/>
    </row>
    <row r="779" ht="15.75" customHeight="1">
      <c r="H779" s="22"/>
      <c r="P779" s="27"/>
    </row>
    <row r="780" ht="15.75" customHeight="1">
      <c r="H780" s="22"/>
      <c r="P780" s="27"/>
    </row>
    <row r="781" ht="15.75" customHeight="1">
      <c r="H781" s="22"/>
      <c r="P781" s="27"/>
    </row>
    <row r="782" ht="15.75" customHeight="1">
      <c r="H782" s="22"/>
      <c r="P782" s="27"/>
    </row>
    <row r="783" ht="15.75" customHeight="1">
      <c r="H783" s="22"/>
      <c r="P783" s="27"/>
    </row>
    <row r="784" ht="15.75" customHeight="1">
      <c r="H784" s="22"/>
      <c r="P784" s="27"/>
    </row>
    <row r="785" ht="15.75" customHeight="1">
      <c r="H785" s="22"/>
      <c r="P785" s="27"/>
    </row>
    <row r="786" ht="15.75" customHeight="1">
      <c r="H786" s="22"/>
      <c r="P786" s="27"/>
    </row>
    <row r="787" ht="15.75" customHeight="1">
      <c r="H787" s="22"/>
      <c r="P787" s="27"/>
    </row>
    <row r="788" ht="15.75" customHeight="1">
      <c r="H788" s="22"/>
      <c r="P788" s="27"/>
    </row>
    <row r="789" ht="15.75" customHeight="1">
      <c r="H789" s="22"/>
      <c r="P789" s="27"/>
    </row>
    <row r="790" ht="15.75" customHeight="1">
      <c r="H790" s="22"/>
      <c r="P790" s="27"/>
    </row>
    <row r="791" ht="15.75" customHeight="1">
      <c r="H791" s="22"/>
      <c r="P791" s="27"/>
    </row>
    <row r="792" ht="15.75" customHeight="1">
      <c r="H792" s="22"/>
      <c r="P792" s="27"/>
    </row>
    <row r="793" ht="15.75" customHeight="1">
      <c r="H793" s="22"/>
      <c r="P793" s="27"/>
    </row>
    <row r="794" ht="15.75" customHeight="1">
      <c r="H794" s="22"/>
      <c r="P794" s="27"/>
    </row>
    <row r="795" ht="15.75" customHeight="1">
      <c r="H795" s="22"/>
      <c r="P795" s="27"/>
    </row>
    <row r="796" ht="15.75" customHeight="1">
      <c r="H796" s="22"/>
      <c r="P796" s="27"/>
    </row>
    <row r="797" ht="15.75" customHeight="1">
      <c r="H797" s="22"/>
      <c r="P797" s="27"/>
    </row>
    <row r="798" ht="15.75" customHeight="1">
      <c r="H798" s="22"/>
      <c r="P798" s="27"/>
    </row>
    <row r="799" ht="15.75" customHeight="1">
      <c r="H799" s="22"/>
      <c r="P799" s="27"/>
    </row>
    <row r="800" ht="15.75" customHeight="1">
      <c r="H800" s="22"/>
      <c r="P800" s="27"/>
    </row>
    <row r="801" ht="15.75" customHeight="1">
      <c r="H801" s="22"/>
      <c r="P801" s="27"/>
    </row>
    <row r="802" ht="15.75" customHeight="1">
      <c r="H802" s="22"/>
      <c r="P802" s="27"/>
    </row>
    <row r="803" ht="15.75" customHeight="1">
      <c r="H803" s="22"/>
      <c r="P803" s="27"/>
    </row>
    <row r="804" ht="15.75" customHeight="1">
      <c r="H804" s="22"/>
      <c r="P804" s="27"/>
    </row>
    <row r="805" ht="15.75" customHeight="1">
      <c r="H805" s="22"/>
      <c r="P805" s="27"/>
    </row>
    <row r="806" ht="15.75" customHeight="1">
      <c r="H806" s="22"/>
      <c r="P806" s="27"/>
    </row>
    <row r="807" ht="15.75" customHeight="1">
      <c r="H807" s="22"/>
      <c r="P807" s="27"/>
    </row>
    <row r="808" ht="15.75" customHeight="1">
      <c r="H808" s="22"/>
      <c r="P808" s="27"/>
    </row>
    <row r="809" ht="15.75" customHeight="1">
      <c r="H809" s="22"/>
      <c r="P809" s="27"/>
    </row>
    <row r="810" ht="15.75" customHeight="1">
      <c r="H810" s="22"/>
      <c r="P810" s="27"/>
    </row>
    <row r="811" ht="15.75" customHeight="1">
      <c r="H811" s="22"/>
      <c r="P811" s="27"/>
    </row>
    <row r="812" ht="15.75" customHeight="1">
      <c r="H812" s="22"/>
      <c r="P812" s="27"/>
    </row>
    <row r="813" ht="15.75" customHeight="1">
      <c r="H813" s="22"/>
      <c r="P813" s="27"/>
    </row>
    <row r="814" ht="15.75" customHeight="1">
      <c r="H814" s="22"/>
      <c r="P814" s="27"/>
    </row>
    <row r="815" ht="15.75" customHeight="1">
      <c r="H815" s="22"/>
      <c r="P815" s="27"/>
    </row>
    <row r="816" ht="15.75" customHeight="1">
      <c r="H816" s="22"/>
      <c r="P816" s="27"/>
    </row>
    <row r="817" ht="15.75" customHeight="1">
      <c r="H817" s="22"/>
      <c r="P817" s="27"/>
    </row>
    <row r="818" ht="15.75" customHeight="1">
      <c r="H818" s="22"/>
      <c r="P818" s="27"/>
    </row>
    <row r="819" ht="15.75" customHeight="1">
      <c r="H819" s="22"/>
      <c r="P819" s="27"/>
    </row>
    <row r="820" ht="15.75" customHeight="1">
      <c r="H820" s="22"/>
      <c r="P820" s="27"/>
    </row>
    <row r="821" ht="15.75" customHeight="1">
      <c r="H821" s="22"/>
      <c r="P821" s="27"/>
    </row>
    <row r="822" ht="15.75" customHeight="1">
      <c r="H822" s="22"/>
      <c r="P822" s="27"/>
    </row>
    <row r="823" ht="15.75" customHeight="1">
      <c r="H823" s="22"/>
      <c r="P823" s="27"/>
    </row>
    <row r="824" ht="15.75" customHeight="1">
      <c r="H824" s="22"/>
      <c r="P824" s="27"/>
    </row>
    <row r="825" ht="15.75" customHeight="1">
      <c r="H825" s="22"/>
      <c r="P825" s="27"/>
    </row>
    <row r="826" ht="15.75" customHeight="1">
      <c r="H826" s="22"/>
      <c r="P826" s="27"/>
    </row>
    <row r="827" ht="15.75" customHeight="1">
      <c r="H827" s="22"/>
      <c r="P827" s="27"/>
    </row>
    <row r="828" ht="15.75" customHeight="1">
      <c r="H828" s="22"/>
      <c r="P828" s="27"/>
    </row>
    <row r="829" ht="15.75" customHeight="1">
      <c r="H829" s="22"/>
      <c r="P829" s="27"/>
    </row>
    <row r="830" ht="15.75" customHeight="1">
      <c r="H830" s="22"/>
      <c r="P830" s="27"/>
    </row>
    <row r="831" ht="15.75" customHeight="1">
      <c r="H831" s="22"/>
      <c r="P831" s="27"/>
    </row>
    <row r="832" ht="15.75" customHeight="1">
      <c r="H832" s="22"/>
      <c r="P832" s="27"/>
    </row>
    <row r="833" ht="15.75" customHeight="1">
      <c r="H833" s="22"/>
      <c r="P833" s="27"/>
    </row>
    <row r="834" ht="15.75" customHeight="1">
      <c r="H834" s="22"/>
      <c r="P834" s="27"/>
    </row>
    <row r="835" ht="15.75" customHeight="1">
      <c r="H835" s="22"/>
      <c r="P835" s="27"/>
    </row>
    <row r="836" ht="15.75" customHeight="1">
      <c r="H836" s="22"/>
      <c r="P836" s="27"/>
    </row>
    <row r="837" ht="15.75" customHeight="1">
      <c r="H837" s="22"/>
      <c r="P837" s="27"/>
    </row>
    <row r="838" ht="15.75" customHeight="1">
      <c r="H838" s="22"/>
      <c r="P838" s="27"/>
    </row>
    <row r="839" ht="15.75" customHeight="1">
      <c r="H839" s="22"/>
      <c r="P839" s="27"/>
    </row>
    <row r="840" ht="15.75" customHeight="1">
      <c r="H840" s="22"/>
      <c r="P840" s="27"/>
    </row>
    <row r="841" ht="15.75" customHeight="1">
      <c r="H841" s="22"/>
      <c r="P841" s="27"/>
    </row>
    <row r="842" ht="15.75" customHeight="1">
      <c r="H842" s="22"/>
      <c r="P842" s="27"/>
    </row>
    <row r="843" ht="15.75" customHeight="1">
      <c r="H843" s="22"/>
      <c r="P843" s="27"/>
    </row>
    <row r="844" ht="15.75" customHeight="1">
      <c r="H844" s="22"/>
      <c r="P844" s="27"/>
    </row>
    <row r="845" ht="15.75" customHeight="1">
      <c r="H845" s="22"/>
      <c r="P845" s="27"/>
    </row>
    <row r="846" ht="15.75" customHeight="1">
      <c r="H846" s="22"/>
      <c r="P846" s="27"/>
    </row>
    <row r="847" ht="15.75" customHeight="1">
      <c r="H847" s="22"/>
      <c r="P847" s="27"/>
    </row>
    <row r="848" ht="15.75" customHeight="1">
      <c r="H848" s="22"/>
      <c r="P848" s="27"/>
    </row>
    <row r="849" ht="15.75" customHeight="1">
      <c r="H849" s="22"/>
      <c r="P849" s="27"/>
    </row>
    <row r="850" ht="15.75" customHeight="1">
      <c r="H850" s="22"/>
      <c r="P850" s="27"/>
    </row>
    <row r="851" ht="15.75" customHeight="1">
      <c r="H851" s="22"/>
      <c r="P851" s="27"/>
    </row>
    <row r="852" ht="15.75" customHeight="1">
      <c r="H852" s="22"/>
      <c r="P852" s="27"/>
    </row>
    <row r="853" ht="15.75" customHeight="1">
      <c r="H853" s="22"/>
      <c r="P853" s="27"/>
    </row>
    <row r="854" ht="15.75" customHeight="1">
      <c r="H854" s="22"/>
      <c r="P854" s="27"/>
    </row>
    <row r="855" ht="15.75" customHeight="1">
      <c r="H855" s="22"/>
      <c r="P855" s="27"/>
    </row>
    <row r="856" ht="15.75" customHeight="1">
      <c r="H856" s="22"/>
      <c r="P856" s="27"/>
    </row>
    <row r="857" ht="15.75" customHeight="1">
      <c r="H857" s="22"/>
      <c r="P857" s="27"/>
    </row>
    <row r="858" ht="15.75" customHeight="1">
      <c r="H858" s="22"/>
      <c r="P858" s="27"/>
    </row>
    <row r="859" ht="15.75" customHeight="1">
      <c r="H859" s="22"/>
      <c r="P859" s="27"/>
    </row>
    <row r="860" ht="15.75" customHeight="1">
      <c r="H860" s="22"/>
      <c r="P860" s="27"/>
    </row>
    <row r="861" ht="15.75" customHeight="1">
      <c r="H861" s="22"/>
      <c r="P861" s="27"/>
    </row>
    <row r="862" ht="15.75" customHeight="1">
      <c r="H862" s="22"/>
      <c r="P862" s="27"/>
    </row>
    <row r="863" ht="15.75" customHeight="1">
      <c r="H863" s="22"/>
      <c r="P863" s="27"/>
    </row>
    <row r="864" ht="15.75" customHeight="1">
      <c r="H864" s="22"/>
      <c r="P864" s="27"/>
    </row>
    <row r="865" ht="15.75" customHeight="1">
      <c r="H865" s="22"/>
      <c r="P865" s="27"/>
    </row>
    <row r="866" ht="15.75" customHeight="1">
      <c r="H866" s="22"/>
      <c r="P866" s="27"/>
    </row>
    <row r="867" ht="15.75" customHeight="1">
      <c r="H867" s="22"/>
      <c r="P867" s="27"/>
    </row>
    <row r="868" ht="15.75" customHeight="1">
      <c r="H868" s="22"/>
      <c r="P868" s="27"/>
    </row>
    <row r="869" ht="15.75" customHeight="1">
      <c r="H869" s="22"/>
      <c r="P869" s="27"/>
    </row>
    <row r="870" ht="15.75" customHeight="1">
      <c r="H870" s="22"/>
      <c r="P870" s="27"/>
    </row>
    <row r="871" ht="15.75" customHeight="1">
      <c r="H871" s="22"/>
      <c r="P871" s="27"/>
    </row>
    <row r="872" ht="15.75" customHeight="1">
      <c r="H872" s="22"/>
      <c r="P872" s="27"/>
    </row>
    <row r="873" ht="15.75" customHeight="1">
      <c r="H873" s="22"/>
      <c r="P873" s="27"/>
    </row>
    <row r="874" ht="15.75" customHeight="1">
      <c r="H874" s="22"/>
      <c r="P874" s="27"/>
    </row>
    <row r="875" ht="15.75" customHeight="1">
      <c r="H875" s="22"/>
      <c r="P875" s="27"/>
    </row>
    <row r="876" ht="15.75" customHeight="1">
      <c r="H876" s="22"/>
      <c r="P876" s="27"/>
    </row>
    <row r="877" ht="15.75" customHeight="1">
      <c r="H877" s="22"/>
      <c r="P877" s="27"/>
    </row>
    <row r="878" ht="15.75" customHeight="1">
      <c r="H878" s="22"/>
      <c r="P878" s="27"/>
    </row>
    <row r="879" ht="15.75" customHeight="1">
      <c r="H879" s="22"/>
      <c r="P879" s="27"/>
    </row>
    <row r="880" ht="15.75" customHeight="1">
      <c r="H880" s="22"/>
      <c r="P880" s="27"/>
    </row>
    <row r="881" ht="15.75" customHeight="1">
      <c r="H881" s="22"/>
      <c r="P881" s="27"/>
    </row>
    <row r="882" ht="15.75" customHeight="1">
      <c r="H882" s="22"/>
      <c r="P882" s="27"/>
    </row>
    <row r="883" ht="15.75" customHeight="1">
      <c r="H883" s="22"/>
      <c r="P883" s="27"/>
    </row>
    <row r="884" ht="15.75" customHeight="1">
      <c r="H884" s="22"/>
      <c r="P884" s="27"/>
    </row>
    <row r="885" ht="15.75" customHeight="1">
      <c r="H885" s="22"/>
      <c r="P885" s="27"/>
    </row>
    <row r="886" ht="15.75" customHeight="1">
      <c r="H886" s="22"/>
      <c r="P886" s="27"/>
    </row>
    <row r="887" ht="15.75" customHeight="1">
      <c r="H887" s="22"/>
      <c r="P887" s="27"/>
    </row>
    <row r="888" ht="15.75" customHeight="1">
      <c r="H888" s="22"/>
      <c r="P888" s="27"/>
    </row>
    <row r="889" ht="15.75" customHeight="1">
      <c r="H889" s="22"/>
      <c r="P889" s="27"/>
    </row>
    <row r="890" ht="15.75" customHeight="1">
      <c r="H890" s="22"/>
      <c r="P890" s="27"/>
    </row>
    <row r="891" ht="15.75" customHeight="1">
      <c r="H891" s="22"/>
      <c r="P891" s="27"/>
    </row>
    <row r="892" ht="15.75" customHeight="1">
      <c r="H892" s="22"/>
      <c r="P892" s="27"/>
    </row>
    <row r="893" ht="15.75" customHeight="1">
      <c r="H893" s="22"/>
      <c r="P893" s="27"/>
    </row>
    <row r="894" ht="15.75" customHeight="1">
      <c r="H894" s="22"/>
      <c r="P894" s="27"/>
    </row>
    <row r="895" ht="15.75" customHeight="1">
      <c r="H895" s="22"/>
      <c r="P895" s="27"/>
    </row>
    <row r="896" ht="15.75" customHeight="1">
      <c r="H896" s="22"/>
      <c r="P896" s="27"/>
    </row>
    <row r="897" ht="15.75" customHeight="1">
      <c r="H897" s="22"/>
      <c r="P897" s="27"/>
    </row>
    <row r="898" ht="15.75" customHeight="1">
      <c r="H898" s="22"/>
      <c r="P898" s="27"/>
    </row>
    <row r="899" ht="15.75" customHeight="1">
      <c r="H899" s="22"/>
      <c r="P899" s="27"/>
    </row>
    <row r="900" ht="15.75" customHeight="1">
      <c r="H900" s="22"/>
      <c r="P900" s="27"/>
    </row>
    <row r="901" ht="15.75" customHeight="1">
      <c r="H901" s="22"/>
      <c r="P901" s="27"/>
    </row>
    <row r="902" ht="15.75" customHeight="1">
      <c r="H902" s="22"/>
      <c r="P902" s="27"/>
    </row>
    <row r="903" ht="15.75" customHeight="1">
      <c r="H903" s="22"/>
      <c r="P903" s="27"/>
    </row>
    <row r="904" ht="15.75" customHeight="1">
      <c r="H904" s="22"/>
      <c r="P904" s="27"/>
    </row>
    <row r="905" ht="15.75" customHeight="1">
      <c r="H905" s="22"/>
      <c r="P905" s="27"/>
    </row>
    <row r="906" ht="15.75" customHeight="1">
      <c r="H906" s="22"/>
      <c r="P906" s="27"/>
    </row>
    <row r="907" ht="15.75" customHeight="1">
      <c r="H907" s="22"/>
      <c r="P907" s="27"/>
    </row>
    <row r="908" ht="15.75" customHeight="1">
      <c r="H908" s="22"/>
      <c r="P908" s="27"/>
    </row>
    <row r="909" ht="15.75" customHeight="1">
      <c r="H909" s="22"/>
      <c r="P909" s="27"/>
    </row>
    <row r="910" ht="15.75" customHeight="1">
      <c r="H910" s="22"/>
      <c r="P910" s="27"/>
    </row>
    <row r="911" ht="15.75" customHeight="1">
      <c r="H911" s="22"/>
      <c r="P911" s="27"/>
    </row>
    <row r="912" ht="15.75" customHeight="1">
      <c r="H912" s="22"/>
      <c r="P912" s="27"/>
    </row>
    <row r="913" ht="15.75" customHeight="1">
      <c r="H913" s="22"/>
      <c r="P913" s="27"/>
    </row>
    <row r="914" ht="15.75" customHeight="1">
      <c r="H914" s="22"/>
      <c r="P914" s="27"/>
    </row>
    <row r="915" ht="15.75" customHeight="1">
      <c r="H915" s="22"/>
      <c r="P915" s="27"/>
    </row>
    <row r="916" ht="15.75" customHeight="1">
      <c r="H916" s="22"/>
      <c r="P916" s="27"/>
    </row>
    <row r="917" ht="15.75" customHeight="1">
      <c r="H917" s="22"/>
      <c r="P917" s="27"/>
    </row>
    <row r="918" ht="15.75" customHeight="1">
      <c r="H918" s="22"/>
      <c r="P918" s="27"/>
    </row>
    <row r="919" ht="15.75" customHeight="1">
      <c r="H919" s="22"/>
      <c r="P919" s="27"/>
    </row>
    <row r="920" ht="15.75" customHeight="1">
      <c r="H920" s="22"/>
      <c r="P920" s="27"/>
    </row>
    <row r="921" ht="15.75" customHeight="1">
      <c r="H921" s="22"/>
      <c r="P921" s="27"/>
    </row>
    <row r="922" ht="15.75" customHeight="1">
      <c r="H922" s="22"/>
      <c r="P922" s="27"/>
    </row>
    <row r="923" ht="15.75" customHeight="1">
      <c r="H923" s="22"/>
      <c r="P923" s="27"/>
    </row>
    <row r="924" ht="15.75" customHeight="1">
      <c r="H924" s="22"/>
      <c r="P924" s="27"/>
    </row>
    <row r="925" ht="15.75" customHeight="1">
      <c r="H925" s="22"/>
      <c r="P925" s="27"/>
    </row>
    <row r="926" ht="15.75" customHeight="1">
      <c r="H926" s="22"/>
      <c r="P926" s="27"/>
    </row>
    <row r="927" ht="15.75" customHeight="1">
      <c r="H927" s="22"/>
      <c r="P927" s="27"/>
    </row>
    <row r="928" ht="15.75" customHeight="1">
      <c r="H928" s="22"/>
      <c r="P928" s="27"/>
    </row>
    <row r="929" ht="15.75" customHeight="1">
      <c r="H929" s="22"/>
      <c r="P929" s="27"/>
    </row>
    <row r="930" ht="15.75" customHeight="1">
      <c r="H930" s="22"/>
      <c r="P930" s="27"/>
    </row>
    <row r="931" ht="15.75" customHeight="1">
      <c r="H931" s="22"/>
      <c r="P931" s="27"/>
    </row>
    <row r="932" ht="15.75" customHeight="1">
      <c r="H932" s="22"/>
      <c r="P932" s="27"/>
    </row>
    <row r="933" ht="15.75" customHeight="1">
      <c r="H933" s="22"/>
      <c r="P933" s="27"/>
    </row>
    <row r="934" ht="15.75" customHeight="1">
      <c r="H934" s="22"/>
      <c r="P934" s="27"/>
    </row>
    <row r="935" ht="15.75" customHeight="1">
      <c r="H935" s="22"/>
      <c r="P935" s="27"/>
    </row>
    <row r="936" ht="15.75" customHeight="1">
      <c r="H936" s="22"/>
      <c r="P936" s="27"/>
    </row>
    <row r="937" ht="15.75" customHeight="1">
      <c r="H937" s="22"/>
      <c r="P937" s="27"/>
    </row>
    <row r="938" ht="15.75" customHeight="1">
      <c r="H938" s="22"/>
      <c r="P938" s="27"/>
    </row>
    <row r="939" ht="15.75" customHeight="1">
      <c r="H939" s="22"/>
      <c r="P939" s="27"/>
    </row>
    <row r="940" ht="15.75" customHeight="1">
      <c r="H940" s="22"/>
      <c r="P940" s="27"/>
    </row>
    <row r="941" ht="15.75" customHeight="1">
      <c r="H941" s="22"/>
      <c r="P941" s="27"/>
    </row>
    <row r="942" ht="15.75" customHeight="1">
      <c r="H942" s="22"/>
      <c r="P942" s="27"/>
    </row>
    <row r="943" ht="15.75" customHeight="1">
      <c r="H943" s="22"/>
      <c r="P943" s="27"/>
    </row>
    <row r="944" ht="15.75" customHeight="1">
      <c r="H944" s="22"/>
      <c r="P944" s="27"/>
    </row>
    <row r="945" ht="15.75" customHeight="1">
      <c r="H945" s="22"/>
      <c r="P945" s="27"/>
    </row>
    <row r="946" ht="15.75" customHeight="1">
      <c r="H946" s="22"/>
      <c r="P946" s="27"/>
    </row>
    <row r="947" ht="15.75" customHeight="1">
      <c r="H947" s="22"/>
      <c r="P947" s="27"/>
    </row>
    <row r="948" ht="15.75" customHeight="1">
      <c r="H948" s="22"/>
      <c r="P948" s="27"/>
    </row>
    <row r="949" ht="15.75" customHeight="1">
      <c r="H949" s="22"/>
      <c r="P949" s="27"/>
    </row>
    <row r="950" ht="15.75" customHeight="1">
      <c r="H950" s="22"/>
      <c r="P950" s="27"/>
    </row>
    <row r="951" ht="15.75" customHeight="1">
      <c r="H951" s="22"/>
      <c r="P951" s="27"/>
    </row>
    <row r="952" ht="15.75" customHeight="1">
      <c r="H952" s="22"/>
      <c r="P952" s="27"/>
    </row>
    <row r="953" ht="15.75" customHeight="1">
      <c r="H953" s="22"/>
      <c r="P953" s="27"/>
    </row>
    <row r="954" ht="15.75" customHeight="1">
      <c r="H954" s="22"/>
      <c r="P954" s="27"/>
    </row>
    <row r="955" ht="15.75" customHeight="1">
      <c r="H955" s="22"/>
      <c r="P955" s="27"/>
    </row>
    <row r="956" ht="15.75" customHeight="1">
      <c r="H956" s="22"/>
      <c r="P956" s="27"/>
    </row>
    <row r="957" ht="15.75" customHeight="1">
      <c r="H957" s="22"/>
      <c r="P957" s="27"/>
    </row>
    <row r="958" ht="15.75" customHeight="1">
      <c r="H958" s="22"/>
      <c r="P958" s="27"/>
    </row>
    <row r="959" ht="15.75" customHeight="1">
      <c r="H959" s="22"/>
      <c r="P959" s="27"/>
    </row>
    <row r="960" ht="15.75" customHeight="1">
      <c r="H960" s="22"/>
      <c r="P960" s="27"/>
    </row>
    <row r="961" ht="15.75" customHeight="1">
      <c r="H961" s="22"/>
      <c r="P961" s="27"/>
    </row>
    <row r="962" ht="15.75" customHeight="1">
      <c r="H962" s="22"/>
      <c r="P962" s="27"/>
    </row>
    <row r="963" ht="15.75" customHeight="1">
      <c r="H963" s="22"/>
      <c r="P963" s="27"/>
    </row>
    <row r="964" ht="15.75" customHeight="1">
      <c r="H964" s="22"/>
      <c r="P964" s="27"/>
    </row>
    <row r="965" ht="15.75" customHeight="1">
      <c r="H965" s="22"/>
      <c r="P965" s="27"/>
    </row>
    <row r="966" ht="15.75" customHeight="1">
      <c r="H966" s="22"/>
      <c r="P966" s="27"/>
    </row>
    <row r="967" ht="15.75" customHeight="1">
      <c r="H967" s="22"/>
      <c r="P967" s="27"/>
    </row>
    <row r="968" ht="15.75" customHeight="1">
      <c r="H968" s="22"/>
      <c r="P968" s="27"/>
    </row>
    <row r="969" ht="15.75" customHeight="1">
      <c r="H969" s="22"/>
      <c r="P969" s="27"/>
    </row>
    <row r="970" ht="15.75" customHeight="1">
      <c r="H970" s="22"/>
      <c r="P970" s="27"/>
    </row>
    <row r="971" ht="15.75" customHeight="1">
      <c r="H971" s="22"/>
      <c r="P971" s="27"/>
    </row>
    <row r="972" ht="15.75" customHeight="1">
      <c r="H972" s="22"/>
      <c r="P972" s="27"/>
    </row>
    <row r="973" ht="15.75" customHeight="1">
      <c r="H973" s="22"/>
      <c r="P973" s="27"/>
    </row>
    <row r="974" ht="15.75" customHeight="1">
      <c r="H974" s="22"/>
      <c r="P974" s="27"/>
    </row>
    <row r="975" ht="15.75" customHeight="1">
      <c r="H975" s="22"/>
      <c r="P975" s="27"/>
    </row>
    <row r="976" ht="15.75" customHeight="1">
      <c r="H976" s="22"/>
      <c r="P976" s="27"/>
    </row>
    <row r="977" ht="15.75" customHeight="1">
      <c r="H977" s="22"/>
      <c r="P977" s="27"/>
    </row>
    <row r="978" ht="15.75" customHeight="1">
      <c r="H978" s="22"/>
      <c r="P978" s="27"/>
    </row>
    <row r="979" ht="15.75" customHeight="1">
      <c r="H979" s="22"/>
      <c r="P979" s="27"/>
    </row>
    <row r="980" ht="15.75" customHeight="1">
      <c r="H980" s="22"/>
      <c r="P980" s="27"/>
    </row>
    <row r="981" ht="15.75" customHeight="1">
      <c r="H981" s="22"/>
      <c r="P981" s="27"/>
    </row>
    <row r="982" ht="15.75" customHeight="1">
      <c r="H982" s="22"/>
      <c r="P982" s="27"/>
    </row>
  </sheetData>
  <dataValidations>
    <dataValidation type="list" allowBlank="1" sqref="B2:F14 B144:C144 B145:F145 B146:C146 B147:F147 B148:C148 B149:F149 B150:C150 B151:F151 B152:C152 B153:F153 B154:C154 B155:F155 B156:C156 B157:F157 B158:C158 B159:F159 B160:C160 B161:F161 B162:C162 B163:F163 B164:C164 B165:F165 B166:C166 B167:F167 B168:C168 B169:F169 B170:C170 B171:F171 B172:C172 B173:F173 B174:C174 B175:F175 B176:C176 B177:F177 B178:C178 B179:F179 B180:C180 B181:F181 B182:C182 D183:F183 D185:F185 D187:F187 D189:F189 D191:F191 D193:F193 D195:F195 D197:F197 D199:F199 D201:F201 D203:F203 D205:F205 D207:F207 D209:F209 D211:F211 D213:F213 D215:F215 D217:F217 D219:F219 D221:F221 D223:F223 D225:F225 D227:F227 D229:F229 D231:F231 D233:F233 D235:F235 D237:F237 D239:F239 D241:F241 D243:F243 D245:F245 D247:F247 D249:F249 D251:F251 D253:F253 D255:F255 D257:F257 D259:F259 D261:F261 D263:F263 D265:F265 D267:F267 D269:F269 D271:F271 D273:F273 D275:F275 D277:F277 D279:F279 D281:F281 D283:F283 D285:F285 D287:F287">
      <formula1>"Sim,Parcial,Não"</formula1>
    </dataValidation>
    <dataValidation type="list" allowBlank="1" sqref="G2:G14 G145 G147 G149 G151 G153 G155 G157 G159 G161 G163 G165 G167 G169 G171 G173 G175 G177 G179 G181 G183 G185 G187 G189 G191 G193 G195 G197 G199 G201 G203 G205 G207 G209 G211 G213 G215 G217 G219 G221 G223 G225 G227 G229 G231 G233 G235 G237 G239 G241 G243 G245 G247 G249 G251 G253 G255 G257 G259 G261 G263 G265 G267 G269 G271 G273 G275 G277 G279 G281 G283 G285 G287">
      <formula1>"Sim,Não"</formula1>
    </dataValidation>
    <dataValidation type="list" allowBlank="1" sqref="Q2:Q14 Q147:Q287">
      <formula1>"Aprovada,Aprovada com ajustes,Necessita revisão"</formula1>
    </dataValidation>
  </dataValidations>
  <hyperlinks>
    <hyperlink r:id="rId4" ref="P2"/>
    <hyperlink r:id="rId5" ref="P3"/>
    <hyperlink r:id="rId6" ref="P4"/>
    <hyperlink r:id="rId7" ref="P5"/>
    <hyperlink r:id="rId8" ref="P11"/>
    <hyperlink r:id="rId9" ref="P12"/>
    <hyperlink r:id="rId10" ref="P13"/>
  </hyperlinks>
  <printOptions/>
  <pageMargins bottom="1.0" footer="0.0" header="0.0" left="0.75" right="0.75" top="1.0"/>
  <pageSetup orientation="landscape"/>
  <drawing r:id="rId11"/>
  <legacy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86"/>
    <col customWidth="1" min="2" max="2" width="7.57"/>
    <col customWidth="1" min="3" max="26" width="8.71"/>
  </cols>
  <sheetData>
    <row r="1">
      <c r="A1" s="30" t="s">
        <v>69</v>
      </c>
      <c r="B1" s="22"/>
    </row>
    <row r="2">
      <c r="A2" s="22" t="s">
        <v>70</v>
      </c>
      <c r="B2" s="22">
        <f>COUNTA('Avaliação das Aulas'!A2:A182)</f>
        <v>13</v>
      </c>
    </row>
    <row r="3">
      <c r="A3" s="22" t="s">
        <v>71</v>
      </c>
      <c r="B3" s="22">
        <f>COUNTIF('Avaliação das Aulas'!Q2:Q182,"Aprovada")</f>
        <v>2</v>
      </c>
    </row>
    <row r="4">
      <c r="A4" s="22" t="s">
        <v>72</v>
      </c>
      <c r="B4" s="22">
        <f>COUNTIF('Avaliação das Aulas'!Q2:Q182,"Aprovada com ajustes")</f>
        <v>6</v>
      </c>
    </row>
    <row r="5">
      <c r="A5" s="22" t="s">
        <v>73</v>
      </c>
      <c r="B5" s="22">
        <f>COUNTIF('Avaliação das Aulas'!Q2:Q182,"Necessita revisão")</f>
        <v>5</v>
      </c>
    </row>
    <row r="6">
      <c r="A6" s="22" t="s">
        <v>74</v>
      </c>
      <c r="B6" s="31">
        <f>AVERAGE('Avaliação das Aulas'!K2:K182)</f>
        <v>0.4457981367</v>
      </c>
    </row>
    <row r="7">
      <c r="A7" s="22" t="s">
        <v>75</v>
      </c>
      <c r="B7" s="22">
        <f>COUNTIF('Avaliação das Aulas'!G2:G182,"Sim")</f>
        <v>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